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ropbox\Dropbox\Dokumente\AusbildungStudium\PhiloDissTUM\03Recherchearbeit\DiscoverAI\review stage 3\build_v01\github\external_PhilPapers_review\"/>
    </mc:Choice>
  </mc:AlternateContent>
  <xr:revisionPtr revIDLastSave="0" documentId="13_ncr:1_{E674B3DD-ACF1-4A75-A13C-8E6A000ECAAF}" xr6:coauthVersionLast="47" xr6:coauthVersionMax="47" xr10:uidLastSave="{00000000-0000-0000-0000-000000000000}"/>
  <bookViews>
    <workbookView xWindow="-120" yWindow="-120" windowWidth="29040" windowHeight="15720" xr2:uid="{00000000-000D-0000-FFFF-FFFF00000000}"/>
  </bookViews>
  <sheets>
    <sheet name="External_chart" sheetId="1" r:id="rId1"/>
    <sheet name="Abstracts" sheetId="2" r:id="rId2"/>
    <sheet name="Original_Codebook" sheetId="3" r:id="rId3"/>
    <sheet name="Original_ValidationLists" sheetId="4" r:id="rId4"/>
    <sheet name="Mode_comparison" sheetId="5" r:id="rId5"/>
    <sheet name="Baseline_modes" sheetId="6" r:id="rId6"/>
    <sheet name="Coding_sensitivity" sheetId="7" r:id="rId7"/>
    <sheet name="Read_me" sheetId="8" r:id="rId8"/>
  </sheets>
  <definedNames>
    <definedName name="_xlnm._FilterDatabase" localSheetId="1" hidden="1">Abstracts!$A$1:$E$10</definedName>
    <definedName name="_xlnm._FilterDatabase" localSheetId="5" hidden="1">Baseline_modes!$A$1:$E$33</definedName>
    <definedName name="_xlnm._FilterDatabase" localSheetId="6" hidden="1">Coding_sensitivity!$A$1:$E$5</definedName>
    <definedName name="_xlnm._FilterDatabase" localSheetId="0" hidden="1">External_chart!$A$1:$AX$10</definedName>
    <definedName name="_xlnm._FilterDatabase" localSheetId="4" hidden="1">Mode_comparison!$A$1:$G$10</definedName>
    <definedName name="_xlnm._FilterDatabase" localSheetId="2" hidden="1">Original_Codebook!$A$1:$E$31</definedName>
    <definedName name="_xlnm._FilterDatabase" localSheetId="3" hidden="1">Original_ValidationLists!$A$1:$K$10</definedName>
    <definedName name="_xlnm._FilterDatabase" localSheetId="7" hidden="1">Read_me!$A$1:$B$15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5" l="1"/>
  <c r="G6" i="5" s="1"/>
  <c r="D6" i="5"/>
  <c r="E5" i="5"/>
  <c r="G5" i="5" s="1"/>
  <c r="D5" i="5"/>
  <c r="E4" i="5"/>
  <c r="G4" i="5" s="1"/>
  <c r="D4" i="5"/>
  <c r="E3" i="5"/>
  <c r="G3" i="5" s="1"/>
  <c r="D3" i="5"/>
  <c r="E2" i="5"/>
  <c r="G2" i="5" s="1"/>
  <c r="D2" i="5"/>
</calcChain>
</file>

<file path=xl/sharedStrings.xml><?xml version="1.0" encoding="utf-8"?>
<sst xmlns="http://schemas.openxmlformats.org/spreadsheetml/2006/main" count="841" uniqueCount="528">
  <si>
    <t>record_id</t>
  </si>
  <si>
    <t>title</t>
  </si>
  <si>
    <t>authors</t>
  </si>
  <si>
    <t>year</t>
  </si>
  <si>
    <t>venue</t>
  </si>
  <si>
    <t>pub_type</t>
  </si>
  <si>
    <t>doi</t>
  </si>
  <si>
    <t>url</t>
  </si>
  <si>
    <t>abstract_present</t>
  </si>
  <si>
    <t>full_text_access</t>
  </si>
  <si>
    <t>search_string_origin</t>
  </si>
  <si>
    <t>abstract manually added</t>
  </si>
  <si>
    <t>inclusion_stage</t>
  </si>
  <si>
    <t>decision</t>
  </si>
  <si>
    <t>exclusion_reason</t>
  </si>
  <si>
    <t>husserl_anchor_type</t>
  </si>
  <si>
    <t>husserl_work_cited</t>
  </si>
  <si>
    <t>husserl_concepts_primary</t>
  </si>
  <si>
    <t>concept_role</t>
  </si>
  <si>
    <t>depth_of_engagement</t>
  </si>
  <si>
    <t>phen_method_applied</t>
  </si>
  <si>
    <t>phen_method_elements</t>
  </si>
  <si>
    <t>ai_domain</t>
  </si>
  <si>
    <t>ai_object_of_analysis</t>
  </si>
  <si>
    <t>mode_of_influence</t>
  </si>
  <si>
    <t>research_implications</t>
  </si>
  <si>
    <t>proposed_operationalization</t>
  </si>
  <si>
    <t>key_claims</t>
  </si>
  <si>
    <t>evidence_type</t>
  </si>
  <si>
    <t>limitations_noted_by_authors</t>
  </si>
  <si>
    <t>coder_notes</t>
  </si>
  <si>
    <t>source_file</t>
  </si>
  <si>
    <t>title_norm</t>
  </si>
  <si>
    <t>authors_norm</t>
  </si>
  <si>
    <t>husserl_term_title</t>
  </si>
  <si>
    <t>husserl_term_abstract</t>
  </si>
  <si>
    <t>noise_title_flag</t>
  </si>
  <si>
    <t>external_id</t>
  </si>
  <si>
    <t>manuscript_reference</t>
  </si>
  <si>
    <t>primary_mode</t>
  </si>
  <si>
    <t>evidence_locator</t>
  </si>
  <si>
    <t>coding_rationale</t>
  </si>
  <si>
    <t>borderline_note</t>
  </si>
  <si>
    <t>pdf_file</t>
  </si>
  <si>
    <t>access_note</t>
  </si>
  <si>
    <t>formal_corpus_member</t>
  </si>
  <si>
    <t>charting_date</t>
  </si>
  <si>
    <t>coding_validation</t>
  </si>
  <si>
    <t>abstract_status</t>
  </si>
  <si>
    <t>abstract_source</t>
  </si>
  <si>
    <t>PP01</t>
  </si>
  <si>
    <t>Meeting the Gaze of the Robot: A Phenomenological Analysis on Human–Robot Empathy</t>
  </si>
  <si>
    <t>Floriana Ferro</t>
  </si>
  <si>
    <t>Scenari 17, 215–229</t>
  </si>
  <si>
    <t>journal_article</t>
  </si>
  <si>
    <t>10.7413/24208914136</t>
  </si>
  <si>
    <t>https://doi.org/10.7413/24208914136</t>
  </si>
  <si>
    <t>retrieved</t>
  </si>
  <si>
    <t>This paper discusses the possibility of the phenomenon of empathy between humans and robots, starting from what happens during their eye contact. First, it is shown, through the most relevant results of HRI studies on this matter, what are the most important effects of the robot gaze on human emotions and behaviour. Secondly, these effects are compared to what happens during the phenomenon of empathy between humans, taking inspiration from the studies of Edmund Husserl and Edith Stein. Finally, similarities and differences between human-human and human-robot empathy are conceptualized through Merleau-Ponty’s idea of flesh, which is the extended bodily element of the world. If there is a common concept of body, including both machine-bodies and living bodies, then a transcorporeal analogy takes place, thus explaining why the phenomenon of empathy occurs both in human-human and human-robot interactions.</t>
  </si>
  <si>
    <t>full_text</t>
  </si>
  <si>
    <t>include</t>
  </si>
  <si>
    <t>explicit_husserl (names/works)</t>
  </si>
  <si>
    <t>Cartesian Meditations; Ideas II</t>
  </si>
  <si>
    <t>intersubjectivity; passive_synthesis; embodiment (as Husserlian); constitution</t>
  </si>
  <si>
    <t>interpretive_lens</t>
  </si>
  <si>
    <t>partially (conceptual)</t>
  </si>
  <si>
    <t>intentional_analysis</t>
  </si>
  <si>
    <t>robotics_hri; embodied_ai</t>
  </si>
  <si>
    <t>human_ai_interaction</t>
  </si>
  <si>
    <t>conceptual_translation</t>
  </si>
  <si>
    <t>Distinguish perceived robot empathy from human empathy; examine embodiment in gaze-mediated interaction.</t>
  </si>
  <si>
    <t>Interprets published HRI findings; no new experiment or implemented control procedure.</t>
  </si>
  <si>
    <t>Pairing and bodily analogy help explain human responses to robot gaze.</t>
  </si>
  <si>
    <t>theoretical_argument</t>
  </si>
  <si>
    <t>Human–robot empathy differs from human–human empathy.</t>
  </si>
  <si>
    <t>Stein and Merleau-Ponty also substantially shape the account. Inclusion denotes substantive eligibility for the external check only. The original PhilPapers query-to-record log is unavailable; no query provenance has been invented.</t>
  </si>
  <si>
    <t>Ferro_2022_Meeting_the_Gaze_of_the_Robot.pdf</t>
  </si>
  <si>
    <t>pp. 218–224, especially Section 2 (pp. 218–222); PDF pp. 4–10</t>
  </si>
  <si>
    <t>Conceptual translation: Husserlian pairing explains HRI findings. Reviewing robot experiments does not itself constitute methodological import.</t>
  </si>
  <si>
    <t>Stein and Merleau-Ponty also substantially shape the account.</t>
  </si>
  <si>
    <t>Downloaded from the journal; issue year 2022, website publication date 8 May 2023.</t>
  </si>
  <si>
    <t>2026-09-06</t>
  </si>
  <si>
    <t>Charted by the corresponding author, who made all coding assignments. An AI tool set up the workbook, transcribed the published abstract, and proposed page locators; the corresponding author verified these against the full text. No independent second coding.</t>
  </si>
  <si>
    <t>Published abstract transcribed from source PDF</t>
  </si>
  <si>
    <t>Publisher PDF, printed page 229; PDF page 15; https://doi.org/10.7413/24208914136. Line wrapping and typographic hyphenation normalized; wording retained.</t>
  </si>
  <si>
    <t>PP02</t>
  </si>
  <si>
    <t>Mutual Recognition in Human–Robot Interaction: A Deflationary Account</t>
  </si>
  <si>
    <t>Ingar Brinck; Christian Balkenius</t>
  </si>
  <si>
    <t>Philosophy &amp; Technology 33, 53–70</t>
  </si>
  <si>
    <t>10.1007/s13347-018-0339-x</t>
  </si>
  <si>
    <t>https://doi.org/10.1007/s13347-018-0339-x</t>
  </si>
  <si>
    <t>Mutually adaptive interaction involves the robot as a partner as opposed to a tool, and requires that the robot is susceptible to similar environmental cues and behavior patterns as humans are. Recognition, or the acknowledgement of the other as individual, is fundamental to mutually adaptive interaction between humans. We discuss what recognition involves and its behavioral manifestations, and describe the benefits of implementing it in HRI.</t>
  </si>
  <si>
    <t>Cartesian Meditations; Zur Phänomenologie der Intersubjektivität II and III (Hua XIV–XV)</t>
  </si>
  <si>
    <t>intersubjectivity; embodiment (as Husserlian)</t>
  </si>
  <si>
    <t>design_principle</t>
  </si>
  <si>
    <t>robotics_hri; embodied_ai; perception_action</t>
  </si>
  <si>
    <t>ai_system_design</t>
  </si>
  <si>
    <t>design_guidance</t>
  </si>
  <si>
    <t>Make recognition integral to control; distinguish reciprocal responsiveness from scripted greeting; use interaction timing and multimodal coordination as design variables.</t>
  </si>
  <si>
    <t>Identification, confirmation, and regulated turn-taking are specified as components of mutual recognition; the paper does not report a newly implemented complete recognition system.</t>
  </si>
  <si>
    <t>Recognition supports mutually adaptive interaction; its cognitive and phenomenological dimensions constrain social-robot design.</t>
  </si>
  <si>
    <t>conceptual_framework</t>
  </si>
  <si>
    <t>Section 3 reports no known robot fully satisfying the proposed recognitional requirements.</t>
  </si>
  <si>
    <t>Conceptual translation is present but subordinate to the explicit design-facing contribution; no additional mode counted. A conceptual-translation reading is also plausible because the Husserlian discussion (pp. 66–67) follows the specification of recognition components (p. 65); it is reported as a separate coding scenario. Inclusion denotes substantive eligibility for the external check only. The original PhilPapers query-to-record log is unavailable; no query provenance has been invented.</t>
  </si>
  <si>
    <t>weitere quellen/s13347-018-0339-x.pdf</t>
  </si>
  <si>
    <t>pp. 62–67, Sections 3–6; especially p. 65 (components) and pp. 66–67 (Husserl); PDF pp. 10–15</t>
  </si>
  <si>
    <t>Design guidance is primary because the paper specifies interaction components and requirements. Its use of existing empirical work is supporting evidence rather than a new study.</t>
  </si>
  <si>
    <t>Conceptual translation is present but subordinate to the explicit design-facing contribution; no additional mode counted. A conceptual-translation reading is also plausible because the Husserlian discussion (pp. 66–67) follows the specification of recognition components (p. 65); it is reported as a separate coding scenario.</t>
  </si>
  <si>
    <t>Brinck_Balkenius_2020_Mutual_Recognition.pdf</t>
  </si>
  <si>
    <t>Existing local PDF; online first 19 December 2018, issue year 2020.</t>
  </si>
  <si>
    <t>Publisher PDF, printed page 53; PDF page 1; https://doi.org/10.1007/s13347-018-0339-x. Line wrapping and typographic hyphenation normalized; wording retained.</t>
  </si>
  <si>
    <t>PP03</t>
  </si>
  <si>
    <t>Situation Cognition for Social Robotics</t>
  </si>
  <si>
    <t>Tom Poljanšek</t>
  </si>
  <si>
    <t>Social Robots with AI: Prospects, Risks, and Responsible Methods, 493–504</t>
  </si>
  <si>
    <t>book_chapter</t>
  </si>
  <si>
    <t>10.3233/FAIA241538</t>
  </si>
  <si>
    <t>https://doi.org/10.3233/FAIA241538</t>
  </si>
  <si>
    <t>The tacit understanding of situations is a fundamental aspect of human experience, behavior, and thinking. The paper argues that “situational stances” underly the tacit grasping of situations in human cognition. Contrary to, e.g., schema and script theories, situational stances are not conceived as conceptual knowledge structures used to interpret scenes or circumstances pregiven in perception. Rather, situational stances belong to the dispositional “Background” (Searle) that shapes and mediates immediate experience. Operative situational stances thus at least partly constitute situations as social-ontological entities. The paper elaborates the concept of situational stances and their function, as well as the outlines of a dynamic situation ontology that helps to understand the way human beings find themselves dynamically immersed in situations, alone and with others. The last part of the paper then analyzes possible consequences and risks of considering the peculiarities of this specific situationality of human cognition in social robotics and AI.</t>
  </si>
  <si>
    <t>Experience and Judgement; Phantasy, Image Consciousness, and Memory</t>
  </si>
  <si>
    <t>horizonality; constitution; intersubjectivity</t>
  </si>
  <si>
    <t>foundational_frame</t>
  </si>
  <si>
    <t>robotics_hri; embodied_ai; ai_ethics</t>
  </si>
  <si>
    <t>agenda_setting</t>
  </si>
  <si>
    <t>Investigate situational misalignment and adaptation in social robotics.</t>
  </si>
  <si>
    <t>Adaptive situation lexicons are a future possibility; no implementation or calibration algorithm is supplied.</t>
  </si>
  <si>
    <t>Husserlian horizons support a context-first account of situations.</t>
  </si>
  <si>
    <t>Mechanisms need further investigation; adaptation can enable manipulation.</t>
  </si>
  <si>
    <t>Design guidance is a plausible broader reading. It is not counted here because the transfer remains underspecified. Inclusion denotes substantive eligibility for the external check only. The original PhilPapers query-to-record log is unavailable; no query provenance has been invented.</t>
  </si>
  <si>
    <t>weitere quellen/FAIA241538.pdf</t>
  </si>
  <si>
    <t>pp. 498–500 (Section 4 and beginning of Section 5); pp. 502–503 (Section 6); PDF pp. 6–8, 10–11</t>
  </si>
  <si>
    <t>Agenda setting: the robotics contribution identifies opportunities and risks; its architectural suggestion remains an outlook.</t>
  </si>
  <si>
    <t>Design guidance is a plausible broader reading. It is not counted here because the transfer remains underspecified.</t>
  </si>
  <si>
    <t>Poljansek_2025_Situation_Cognition_Social_Robotics.pdf</t>
  </si>
  <si>
    <t>Complete 12-page local publisher PDF supplied by the author. Published pp. 493–504 print IOS Press 2025; conference held in 2024.</t>
  </si>
  <si>
    <t>Publisher PDF, printed page 493; PDF page 1; https://doi.org/10.3233/FAIA241538. Line wrapping and typographic hyphenation normalized; wording retained.</t>
  </si>
  <si>
    <t>PP04</t>
  </si>
  <si>
    <t>Intentionality and performance: the phenomenology of gait initiation</t>
  </si>
  <si>
    <t>Patrick Grüneberg</t>
  </si>
  <si>
    <t>Phenomenology and the Cognitive Sciences 25, 779–801</t>
  </si>
  <si>
    <t>10.1007/s11097-023-09953-8</t>
  </si>
  <si>
    <t>https://doi.org/10.1007/s11097-023-09953-8</t>
  </si>
  <si>
    <t>When Husserl discussed the phenomenology of willing, he concluded that the sole theoretical foundation of the intentionality of consciousness is insufficient to account for voluntary acts as they do not primarily represent their content as given entities, but instead create the willed during their performance. Nonetheless, Husserl did not suspend the theoretical foundation of intentionality, meaning that the theoretical concept of objectual intentionality juxtaposes a practical concept of performative intentionality. Recent results from the field of robot-assisted gait rehabilitation provided experimental findings that may clarify this relationship, to the effect that the foundational structure of consciousness builds upon a heterarchical model of objectual and performative intentionality. A combination of phenomenological interview results, neural motor control, the functional design of the robot, and clinical data qualifies gait initiation as a non-objectifying act that creates its intentional object (i.e., the willed movement). In sum, the experimental findings support Husserl’s proposal of a genuine practical or performative intentionality that points to a heterarchical understanding of the relationship between representational and performative foundations of action consciousness.</t>
  </si>
  <si>
    <t>Logical Investigations; Vorlesungen über Ethik und Wertlehre (Hua XXVIII); Studien zur Struktur des Bewusstseins (Hua XLIII)</t>
  </si>
  <si>
    <t>intentionality; constitution; embodiment (as Husserlian); noesis_noema; horizonality</t>
  </si>
  <si>
    <t>methodological_procedure</t>
  </si>
  <si>
    <t>yes (procedural steps described)</t>
  </si>
  <si>
    <t>intentional_analysis; first_person_reports</t>
  </si>
  <si>
    <t>methodological_import</t>
  </si>
  <si>
    <t>Separate intention, initiation, and movement when studying robot-assisted action; relate first-person reports to control architecture and clinical measures; avoid reducing volition to representation.</t>
  </si>
  <si>
    <t>Husserlian analysis is connected to previously reported HAL rehabilitation findings: 20 participants, a 26-item questionnaire, and comparison with FIM-M scores. The present article reanalyses prior findings rather than reporting a new trial or a robot designed from Husserl.</t>
  </si>
  <si>
    <t>Objectual and performative intentionality have a heterarchical relationship; gait initiation can be phenomenally distinguished from both its preceding intention and the resulting movement.</t>
  </si>
  <si>
    <t>mixed</t>
  </si>
  <si>
    <t>No conclusive superiority of robot-assisted over conventional therapy is claimed; the neural scope of initiation requires further investigation.</t>
  </si>
  <si>
    <t>The empirical findings predate this article. The code does not attribute a new experiment or autonomous subjectivity to HAL. Inclusion denotes substantive eligibility for the external check only. The original PhilPapers query-to-record log is unavailable; no query provenance has been invented.</t>
  </si>
  <si>
    <t>weitere quellen/s11097-023-09953-8.pdf</t>
  </si>
  <si>
    <t>PDF pp. 2–7 (Introduction and Section 2), pp. 13–21 (Sections 4–5)</t>
  </si>
  <si>
    <t>Methodological import: distinct phenomenological categories are linked to an explicit report-and-score procedure in an actual robotic rehabilitation setting. This is stronger than citing a robot as an illustrative example.</t>
  </si>
  <si>
    <t>The empirical findings predate this article. The code does not attribute a new experiment or autonomous subjectivity to HAL.</t>
  </si>
  <si>
    <t>Gruneberg_2024_Gait_Initiation.pdf</t>
  </si>
  <si>
    <t>Existing local advance-online PDF (online first 10 January 2024); final issue 25(4), pp. 779–801, 2026. Evidence locators cite page numbers of the advance-online PDF.</t>
  </si>
  <si>
    <t>Publisher PDF, printed page first page (advance online version); PDF page 1; https://doi.org/10.1007/s11097-023-09953-8. Line wrapping and typographic hyphenation normalized; wording retained.</t>
  </si>
  <si>
    <t>PP05</t>
  </si>
  <si>
    <t>Can Deep CNNs Avoid Infinite Regress/Circularity in Content Constitution?</t>
  </si>
  <si>
    <t>Jesse Lopes</t>
  </si>
  <si>
    <t>Minds and Machines 33, 507–524</t>
  </si>
  <si>
    <t>10.1007/s11023-023-09642-0</t>
  </si>
  <si>
    <t>https://doi.org/10.1007/s11023-023-09642-0</t>
  </si>
  <si>
    <t>The representations of deep convolutional neural networks (CNNs) are formed from generalizing similarities and abstracting from differences in the manner of the empiricist theory of abstraction (Buckner, Synthese 195:5339–5372, 2018). The empiricist theory of abstraction is well understood to entail infinite regress and circularity in content constitution (Husserl, Logical Investigations. Routledge, 2001). This paper argues these entailments hold a fortiori for deep CNNs. Two theses result: deep CNNs require supplementation by Quine’s “apparatus of identity and quantification” in order to (1) achieve concepts, and (2) represent objects, as opposed to “half-entities” corresponding to similarity amalgams (Quine, Quintessence, Cambridge, 2004, p. 107). Similarity amalgams are also called “approximate meaning[s]” (Marcus &amp; Davis, Rebooting AI, Pantheon, 2019, p. 132). Although Husserl inferred the “complete abandonment of the empiricist theory of abstraction” (a fortiori deep CNNs) due to the infinite regress and circularity arguments examined in this paper, I argue that the statistical learning of deep CNNs may be incorporated into a Fodorian hybrid account that supports Quine’s “sortal predicates, negation, plurals, identity, pronouns, and quantifiers” which are representationally necessary to overcome the regress/circularity in content constitution and achieve objective (as opposed to similarity-subjective) representation (Burge, Origins of Objectivity. Oxford, 2010, p. 238). I base myself initially on Yoshimi’s (New Frontiers in Psychology, 2011) attempt to explain Husserlian phenomenology with neural networks but depart from him due to the arguments and consequently propose a two-system view which converges with Weiskopf’s proposal (“Observational Concepts.” The Conceptual Mind. MIT, 2015. 223–248).</t>
  </si>
  <si>
    <t>Logical Investigations</t>
  </si>
  <si>
    <t>constitution; intentionality; other</t>
  </si>
  <si>
    <t>critique_of_ai_claims</t>
  </si>
  <si>
    <t>ai_epistemology; cognitive_architectures; neuro_symbolic; perception_action</t>
  </si>
  <si>
    <t>ai_theory/claims</t>
  </si>
  <si>
    <t>critique/limits; design_guidance</t>
  </si>
  <si>
    <t>Distinguish similarity-based representations from identity semantics; specify conceptual explananda separately from recognition accuracy; investigate a hybrid statistical and symbolic architecture.</t>
  </si>
  <si>
    <t>Section 3 proposes a two-system model: statistical learning interacts with a discrete symbolic knowledge system via an update/attractor account. No new code, benchmark, or implemented hybrid is evaluated.</t>
  </si>
  <si>
    <t>CNN feature extraction does not, on the author's argument, secure conceptual identity; a statistical-learning system should be supplemented by a distinct symbolic system if identity semantics is the target.</t>
  </si>
  <si>
    <t>The argument is conditional on the model's explanatory aims; models with more modest aims need not accept the proposed supplementation.</t>
  </si>
  <si>
    <t>The existing corpus already permits dual mode assignment (Cibotaru). A stricter single-primary-code scenario removes design_guidance here; it is reported separately. Inclusion denotes substantive eligibility for the external check only. The original PhilPapers query-to-record log is unavailable; no query provenance has been invented.</t>
  </si>
  <si>
    <t>weitere quellen/s11023-023-09642-0.pdf</t>
  </si>
  <si>
    <t>critique/limits</t>
  </si>
  <si>
    <t>pp. 507–510 (regress argument), pp. 516–519 (Section 3), pp. 519–523 (Section 4); PDF pp. 1–4, 10–17</t>
  </si>
  <si>
    <t>Dual coding retains two sustained contributions: critique of content claims and a specified hybrid architectural response. Counting only critique would obscure the implementation-facing part at issue in the review request.</t>
  </si>
  <si>
    <t>The existing corpus already permits dual mode assignment (Cibotaru). A stricter single-primary-code scenario removes design_guidance here; it is reported separately.</t>
  </si>
  <si>
    <t>Lopes_2023_Deep_CNNs_Content_Constitution.pdf</t>
  </si>
  <si>
    <t>Existing local PDF.</t>
  </si>
  <si>
    <t>Publisher PDF, printed page 507; PDF page 1; https://doi.org/10.1007/s11023-023-09642-0. Line wrapping and typographic hyphenation normalized; wording retained.</t>
  </si>
  <si>
    <t>PP06</t>
  </si>
  <si>
    <t>Phenomenology as Proto-Computationalism: Do the Prolegomena Indicate a Computational Reading of the Logical Investigations?</t>
  </si>
  <si>
    <t>Jesse D. Lopes</t>
  </si>
  <si>
    <t>Husserl Studies 39, 47–68</t>
  </si>
  <si>
    <t>10.1007/s10743-022-09315-3</t>
  </si>
  <si>
    <t>https://doi.org/10.1007/s10743-022-09315-3</t>
  </si>
  <si>
    <t>Logical Investigations (including Prolegomena); Formal and Transcendental Logic; Philosophy of Arithmetic</t>
  </si>
  <si>
    <t>intentionality; other</t>
  </si>
  <si>
    <t>intentional_analysis; eidetic_variation</t>
  </si>
  <si>
    <t>ai_epistemology; cognitive_architectures</t>
  </si>
  <si>
    <t>philosophical_foundations</t>
  </si>
  <si>
    <t>Separate phenomenological description from causal explanation; examine computational accounts of systematicity and categorial structure; treat the proposed historical reconstruction as an argument to assess.</t>
  </si>
  <si>
    <t>Reconstructs a descriptive-to-explanatory relation and uses systematicity as an example; does not implement a computational model or specify an empirical research protocol.</t>
  </si>
  <si>
    <t>The author reads the Prolegomena as supporting a computational explanatory development of phenomenological descriptions, rather than associationist reduction.</t>
  </si>
  <si>
    <t>The Conclusion assigns application of the argument to the full Logical Investigations to future work.</t>
  </si>
  <si>
    <t>A broader reading could code the descriptive-to-explanatory sequence as methodological import; a separate sensitivity scenario reports the resulting change. Inclusion denotes substantive eligibility for the external check only. The original PhilPapers query-to-record log is unavailable; no query provenance has been invented.</t>
  </si>
  <si>
    <t>weitere quellen/s10743-022-09315-3.pdf</t>
  </si>
  <si>
    <t>pp. 47–50 (Introduction), pp. 64–66 (explanatory example and Conclusion); PDF pp. 1–4, 18–20</t>
  </si>
  <si>
    <t>Conceptual translation: the principal contribution is an exegetical and metatheoretical argument. This follows the treatment of computational interpretation in Münch and Tani in the original workbook.</t>
  </si>
  <si>
    <t>A broader reading could code the descriptive-to-explanatory sequence as methodological import; a separate sensitivity scenario reports the resulting change.</t>
  </si>
  <si>
    <t>Lopes_2023_Phenomenology_Proto_Computationalism.pdf</t>
  </si>
  <si>
    <t>Existing local PDF; online first 20 September 2022, issue year 2023.</t>
  </si>
  <si>
    <t>Charted by the corresponding author, who made all coding assignments. An AI tool set up the workbook and proposed page locators (no published abstract exists); the corresponding author verified them against the full text. No independent second coding.</t>
  </si>
  <si>
    <t>No published abstract</t>
  </si>
  <si>
    <t>Publisher PDF, pp. 47–68, and publisher article page (checked 6 September 2026): https://link.springer.com/article/10.1007/s10743-022-09315-3. Both begin with an epigraph and Introduction; no abstract is supplied.</t>
  </si>
  <si>
    <t>PP07</t>
  </si>
  <si>
    <t>A Study of Technological Intentionality in C++ and Generative Adversarial Model: Phenomenological and Postphenomenological Perspectives</t>
  </si>
  <si>
    <t>Dmytro Mykhailov; Nicola Liberati</t>
  </si>
  <si>
    <t>Foundations of Science 28, 841–857</t>
  </si>
  <si>
    <t>10.1007/s10699-022-09833-5</t>
  </si>
  <si>
    <t>https://doi.org/10.1007/s10699-022-09833-5</t>
  </si>
  <si>
    <t>This paper aims to highlight the life of computer technologies to understand what kind of ‘technological intentionality’ is present in computers based upon the phenomenological elements constituting the objects in general. Such a study can better explain the effects of new digital technologies on our society and highlight the role of digital technologies by focusing on their activities. Even if Husserlian phenomenology rarely talks about technologies, some of its aspects can be used to address the actions performed by the digital technologies by focusing on the objects’ inner ‘life’ thanks to the analysis of passive synthesis and phenomenological horizons in the objects. These elements can be used in computer technologies to show how digital objects are ‘alive.’ This paper focuses on programs developed through high-order languages like C++ and unsupervised learning techniques like ‘Generative Adversarial Model.’ The phenomenological analysis reveals the computer’s autonomy within the programming stages. At the same time, the conceptual inquiry into the digital system’s learning ability shows the alive and changeable nature of the technological object itself.</t>
  </si>
  <si>
    <t>Experience and Judgement; Ideas; Analysen zur passiven Synthesis; Crisis; Phantasy, Image Consciousness, and Memory</t>
  </si>
  <si>
    <t>intentionality; passive_synthesis; horizonality; constitution</t>
  </si>
  <si>
    <t>ai_epistemology; language_models; cognitive_architectures</t>
  </si>
  <si>
    <t>Analyse technological activity beyond individual users' actions; distinguish inner architectural possibilities from outer relations to other systems; examine how technologies shape human experience.</t>
  </si>
  <si>
    <t>C++ and generative adversarial models illustrate inner and outer horizons. The conceptual scheme redescribes technologies; no new GAN architecture, training procedure, or evaluation study is introduced.</t>
  </si>
  <si>
    <t>Passive synthesis and horizons are used to articulate technological intentionality and the activity of digital objects.</t>
  </si>
  <si>
    <t>Detailed moral-agency issues are outside the article's scope (p. 850, note 23).</t>
  </si>
  <si>
    <t>The inherited language_models field is used in the manuscript's broad language-model/generative-AI sense; this paper concerns GANs, not LLMs. Inclusion denotes substantive eligibility for the external check only. The original PhilPapers query-to-record log is unavailable; no query provenance has been invented.</t>
  </si>
  <si>
    <t>weitere quellen/s10699-022-09833-5.pdf</t>
  </si>
  <si>
    <t>pp. 841–843 (scope), pp. 847–852 (computer examples and Conclusion); PDF pp. 1–3, 7–12</t>
  </si>
  <si>
    <t>Conceptual translation: technology descriptions supply examples for a phenomenological account rather than a Husserl-derived construction procedure.</t>
  </si>
  <si>
    <t>The inherited language_models field is used in the manuscript's broad language-model/generative-AI sense; this paper concerns GANs, not LLMs.</t>
  </si>
  <si>
    <t>Mykhailov_Liberati_2023_Technological_Intentionality.pdf</t>
  </si>
  <si>
    <t>Existing local PDF; online first 14 March 2022, issue year 2023.</t>
  </si>
  <si>
    <t>Publisher PDF, printed page 841; PDF page 1; https://doi.org/10.1007/s10699-022-09833-5. Line wrapping and typographic hyphenation normalized; wording retained.</t>
  </si>
  <si>
    <t>PP08</t>
  </si>
  <si>
    <t>Digital Imagination, Fantasy, AI Art</t>
  </si>
  <si>
    <t>Galit Wellner</t>
  </si>
  <si>
    <t>Foundations of Science 27, 1445–1451</t>
  </si>
  <si>
    <t>10.1007/s10699-020-09747-0</t>
  </si>
  <si>
    <t>https://doi.org/10.1007/s10699-020-09747-0</t>
  </si>
  <si>
    <t>In this reply to my reviewers, I touch upon Husserl’s notion of fantasy. Whereas Kant positions fantasy outside the scope of his own work, Husserl brings it back. The importance of this notion lies in freeing imagination from the tight link to images, as for Husserl imagination is an activity that functions as a “quasi perception.” Ihde and Stiegler enrich Husserl’s analysis of imagination with various aspects of technology: Ihde shows how changes in the technologies that mediate our imagination will necessarily change our imagination; Stiegler broadens Husserl’s analysis of retention. The two theories can be combined into a new understanding of subjectivity that is modeled as layers. Some layers can be performed by AI. The second part deals with the question of whether AI can be imaginative. Traditionally, imaginative creativity is associated with art. Bioart and AI art are brought as examples of a new definition of art, according to which art is the arrangement of materials in a way that produces a meaning. This definition does not refer specifically to creativity. In both forms of art, the biological/artificial and the human cooperate so that the former arranges the materials and the latter produces the meaning, albeit this division of labor is not clear-cut. The result is a co-shaping process. My conclusion is that algorithms can be considered creative by human standards, but this entails a new mode of imagination that is co-shaped and co-shared by humans and algorithms. The layer paradigm explains how such co-shaping works in practice.</t>
  </si>
  <si>
    <t>husserlian_concepts_with_attribution</t>
  </si>
  <si>
    <t>No direct Husserl primary text in the reference list; engagement is mediated by Jansen, Ihde, and Stiegler.</t>
  </si>
  <si>
    <t>noesis_noema; eidetic_variation; time_consciousness; other</t>
  </si>
  <si>
    <t>eidetic_variation; intentional_analysis</t>
  </si>
  <si>
    <t>language_models; ai_epistemology</t>
  </si>
  <si>
    <t>socio-technical_context</t>
  </si>
  <si>
    <t>Analyse imagination as distributed between humans and technologies; distinguish material arrangement from meaning and judgment; examine how changing mediation alters imaginative activity.</t>
  </si>
  <si>
    <t>The layer/plateau account interprets Sketch RNN and GAN art. Rearranging layers is a conceptual account of variation, not a reported implementation of eidetic variation or a new experiment.</t>
  </si>
  <si>
    <t>Human and algorithmic contributions co-shape art and imagination; technological variation does not eliminate human participation in meaning-making.</t>
  </si>
  <si>
    <t>review/position</t>
  </si>
  <si>
    <t>Background relations and fuller treatment of social relations are assigned to further research (p. 1447).</t>
  </si>
  <si>
    <t>Eligible through explicit attribution of Husserlian constructs, despite no direct primary citation. language_models retains the manuscript's generative-AI grouping, not an LLM claim. Inclusion denotes substantive eligibility for the external check only. The original PhilPapers query-to-record log is unavailable; no query provenance has been invented.</t>
  </si>
  <si>
    <t>weitere quellen/s10699-020-09747-0.pdf</t>
  </si>
  <si>
    <t>pp. 1445–1450, especially pp. 1446–1447 and pp. 1448–1450; PDF pp. 1–6</t>
  </si>
  <si>
    <t>Conceptual translation: the layered model clarifies AI-mediated imagination, with existing systems as examples; no procedural phenomenological study is reported.</t>
  </si>
  <si>
    <t>Eligible through explicit attribution of Husserlian constructs, despite no direct primary citation. language_models retains the manuscript's generative-AI grouping, not an LLM claim.</t>
  </si>
  <si>
    <t>Wellner_2022_Digital_Imagination_Fantasy_AI_Art.pdf</t>
  </si>
  <si>
    <t>Existing local PDF; online first 2 April 2021, issue year 2022.</t>
  </si>
  <si>
    <t>Publisher PDF, printed page 1445; PDF page 1; https://doi.org/10.1007/s10699-020-09747-0. Line wrapping and typographic hyphenation normalized; wording retained.</t>
  </si>
  <si>
    <t>PP09</t>
  </si>
  <si>
    <t>Husserl’s concept of transcendental consciousness and the problem of AI consciousness</t>
  </si>
  <si>
    <t>Zbigniew Orbik</t>
  </si>
  <si>
    <t>Phenomenology and the Cognitive Sciences 23, 1151–1170</t>
  </si>
  <si>
    <t>10.1007/s11097-024-09993-8</t>
  </si>
  <si>
    <t>https://doi.org/10.1007/s11097-024-09993-8</t>
  </si>
  <si>
    <t>Edmund Husserl, the founder of phenomenological philosophy, developed the concept of the so-called pure transcendental consciousness. The author of the article asks whether the concept of consciousness understood this way can constitute a model for AI consciousness. It should be remembered that transcendental consciousness is the result of the use of the phenomenological method, the essence of which is referring to experience (“back to things themselves”). Therefore, one can legitimately ask whether the consciousness that AI can achieve can possess the characteristics attributed by Husserl to pure transcendental consciousness. The answer to such questions seems to be negative because AI, as created by humans, can only operate in the field of phenomena. Human intelligence, however, is capable of operating at the ontological level. In the face of difficulties in understanding the phenomenon of consciousness on a scientific basis, the question arises about the possibility of using the phenomenological concept of consciousness developed by Husserl as a starting point in analyzes aimed at answering the question about AI consciousness (The aim of the article is not to discuss in detail the contemporary state of research on consciousness. Therefore, many results currently achieved mainly in the field of neuroscience are omitted. It is just about indicating the possible application of Husserl’s transcendental concept of consciousness in research on AI consciousness).</t>
  </si>
  <si>
    <t>Logical Investigations; Ideas II; Crisis; On the Phenomenology of the Consciousness of Internal Time; Cartesian Meditations</t>
  </si>
  <si>
    <t>transcendental_subjectivity; intentionality; constitution; phenomenological_reduction; time_consciousness</t>
  </si>
  <si>
    <t>reduction; intentional_analysis</t>
  </si>
  <si>
    <t>machine_consciousness; ai_epistemology</t>
  </si>
  <si>
    <t>Separate computational description from transcendental-consciousness attribution.</t>
  </si>
  <si>
    <t>Philosophical comparison; no architecture or consciousness test is implemented.</t>
  </si>
  <si>
    <t>Transcendental consciousness creates difficulties for direct transfer to AI.</t>
  </si>
  <si>
    <t>The article does not comprehensively review neuroscience; several consciousness questions remain open.</t>
  </si>
  <si>
    <t>The author's ontological position is recorded, not adopted as an eligibility premise. Inclusion denotes substantive eligibility for the external check only. The original PhilPapers query-to-record log is unavailable; no query provenance has been invented.</t>
  </si>
  <si>
    <t>Orbik_2024_Transcendental_Consciousness_AI.pdf</t>
  </si>
  <si>
    <t>p. 1151 (Abstract), pp. 1165–1167 (discussion and Conclusion); PDF pp. 1, 15–17</t>
  </si>
  <si>
    <t>Critique/limits: the dominant contribution examines the warrant for consciousness claims; advocating phenomenology does not supply an operational method.</t>
  </si>
  <si>
    <t>The author's ontological position is recorded, not adopted as an eligibility premise.</t>
  </si>
  <si>
    <t>Downloaded from Springer Nature.</t>
  </si>
  <si>
    <t>Publisher PDF, printed page 1151; PDF page 1; https://doi.org/10.1007/s11097-024-09993-8. Line wrapping and typographic hyphenation normalized; wording retained.</t>
  </si>
  <si>
    <t>ID</t>
  </si>
  <si>
    <t>Publication</t>
  </si>
  <si>
    <t>Published abstract</t>
  </si>
  <si>
    <t>Status</t>
  </si>
  <si>
    <t>Source / locator</t>
  </si>
  <si>
    <t>Floriana Ferro (2022). Meeting the Gaze of the Robot: A Phenomenological Analysis on Human–Robot Empathy</t>
  </si>
  <si>
    <t>Ingar Brinck; Christian Balkenius (2020). Mutual Recognition in Human–Robot Interaction: A Deflationary Account</t>
  </si>
  <si>
    <t>Tom Poljanšek (2025). Situation Cognition for Social Robotics</t>
  </si>
  <si>
    <t>Patrick Grüneberg (2026). Intentionality and performance: the phenomenology of gait initiation</t>
  </si>
  <si>
    <t>Jesse Lopes (2023). Can Deep CNNs Avoid Infinite Regress/Circularity in Content Constitution?</t>
  </si>
  <si>
    <t>Jesse D. Lopes (2023). Phenomenology as Proto-Computationalism: Do the Prolegomena Indicate a Computational Reading of the Logical Investigations?</t>
  </si>
  <si>
    <t>Dmytro Mykhailov; Nicola Liberati (2023). A Study of Technological Intentionality in C++ and Generative Adversarial Model: Phenomenological and Postphenomenological Perspectives</t>
  </si>
  <si>
    <t>Galit Wellner (2022). Digital Imagination, Fantasy, AI Art</t>
  </si>
  <si>
    <t>Zbigniew Orbik (2024). Husserl’s concept of transcendental consciousness and the problem of AI consciousness</t>
  </si>
  <si>
    <t>Field</t>
  </si>
  <si>
    <t>Definition</t>
  </si>
  <si>
    <t>Type</t>
  </si>
  <si>
    <t>Allowed values / Coding rule</t>
  </si>
  <si>
    <t>Example / Notes</t>
  </si>
  <si>
    <t>Unique ID used in your workflow (e.g., Semantic Scholar paperId or internal ID).</t>
  </si>
  <si>
    <t>string</t>
  </si>
  <si>
    <t>Keep stable across screening &amp; extraction.</t>
  </si>
  <si>
    <t>Article title.</t>
  </si>
  <si>
    <t>Use API-provided title; do not manually rewrite.</t>
  </si>
  <si>
    <t>Author list (as provided).</t>
  </si>
  <si>
    <t>string/list</t>
  </si>
  <si>
    <t>Preserve order if possible.</t>
  </si>
  <si>
    <t>Publication year (metadata).</t>
  </si>
  <si>
    <t>int</t>
  </si>
  <si>
    <t>If online-first/in-press year differs, note in 'coder_notes'.</t>
  </si>
  <si>
    <t>Journal/Conference/Book venue (metadata).</t>
  </si>
  <si>
    <t>If missing, capture publisher/book title in 'coder_notes'.</t>
  </si>
  <si>
    <t>Source type.</t>
  </si>
  <si>
    <t>enum</t>
  </si>
  <si>
    <t>journal_article; conference_paper; book; book_chapter; preprint; other</t>
  </si>
  <si>
    <t>DOI if available.</t>
  </si>
  <si>
    <t>Prefer DOI for linking; if absent keep blank.</t>
  </si>
  <si>
    <t>Landing page URL (Semantic Scholar or publisher).</t>
  </si>
  <si>
    <t>Prefer stable URLs; avoid tracking parameters.</t>
  </si>
  <si>
    <t>Whether an abstract is available.</t>
  </si>
  <si>
    <t>bool</t>
  </si>
  <si>
    <t>true/false</t>
  </si>
  <si>
    <t>Whether full text was accessed.</t>
  </si>
  <si>
    <t>retrieved; not_retrieved; not_needed (excluded earlier); pending</t>
  </si>
  <si>
    <t>Which query string(s) retrieved the record.</t>
  </si>
  <si>
    <t>enum/multi</t>
  </si>
  <si>
    <t>ai_husserl; ai_epistemology; ai_phenomenology; ai_consciousness; robotics_husserl; robotics_epistemology; robotics_phenomenology; robotics_consciousness</t>
  </si>
  <si>
    <t>Latest stage reached.</t>
  </si>
  <si>
    <t>dedup; title_screen; abstract_screen; full_text; included</t>
  </si>
  <si>
    <t>Screening decision at current stage.</t>
  </si>
  <si>
    <t>include; exclude; maybe/seek_full_text</t>
  </si>
  <si>
    <t>Reason for exclusion (use standardized categories).</t>
  </si>
  <si>
    <t>not_ai_or_robotics; no_husserl_anchor; non_husserl_phenomenology_only; out_of_scope_topic; non_english; outside_year_range; insufficient_information; duplicate; other</t>
  </si>
  <si>
    <t>How Husserl is anchored in the paper.</t>
  </si>
  <si>
    <t>explicit_husserl (names/works); husserlian_concepts_with_attribution; husserl_secondary_discussion; unclear (exclude unless clarified by full text)</t>
  </si>
  <si>
    <t>Key Husserl primary works cited (if any).</t>
  </si>
  <si>
    <t>Capture titles (German/English). If none, leave blank.</t>
  </si>
  <si>
    <t>Which Husserl-specific constructs are materially used.</t>
  </si>
  <si>
    <t>multi-enum</t>
  </si>
  <si>
    <t>intentionality; noesis_noema; constitution; horizonality; lifeworld; epoché; phenomenological_reduction; eidetic_variation; time_consciousness; intersubjectivity; embodiment (as Husserlian); passive_synthesis; genetic_phenomenology; transcendental_subjectivity; other</t>
  </si>
  <si>
    <t>Role of Husserlian constructs in the paper.</t>
  </si>
  <si>
    <t>foundational_frame; methodological_procedure; interpretive_lens; critique_of_ai_claims; design_principle; evaluation_criterion; ontology_of_mind; epistemology_of_ai; other</t>
  </si>
  <si>
    <t>Depth of Husserl engagement.</t>
  </si>
  <si>
    <t>ordinal</t>
  </si>
  <si>
    <t>0=mention only; 1=short discussion; 2=substantive deployment; 3=core driver; 4=method operationalized</t>
  </si>
  <si>
    <t>Is Husserlian phenomenological method operationalized/applied?</t>
  </si>
  <si>
    <t>no; partially (conceptual); yes (procedural steps described); yes (implemented in study design); unclear</t>
  </si>
  <si>
    <t>Which methodological elements appear (if any).</t>
  </si>
  <si>
    <t>epoché/bracketing; reduction; intentional_analysis; eidetic_variation; first_person_reports; intersubjective_validation; lifeworld_analysis; genetic_analysis; other</t>
  </si>
  <si>
    <t>AI/Robotics subfield(s) addressed.</t>
  </si>
  <si>
    <t>embodied_ai; robotics_hri; machine_consciousness; ai_epistemology; explainability; alignment; cognitive_architectures; ai_ethics; perception_action; language_models; autonomous_agents; reinforcement_learning; neuro_symbolic; other</t>
  </si>
  <si>
    <t>What is being analyzed.</t>
  </si>
  <si>
    <t>ai_system_design; ai_theory/claims; human_ai_interaction; evaluation/metrics; philosophical_foundations; socio-technical_context</t>
  </si>
  <si>
    <t>How Husserl is claimed to affect AI research (primary contribution).</t>
  </si>
  <si>
    <t>conceptual_translation; methodological_import; design_guidance; evaluation_guidance; critique/limits; agenda_setting; other</t>
  </si>
  <si>
    <t>Extract implications for AI research.</t>
  </si>
  <si>
    <t>text</t>
  </si>
  <si>
    <t>Aim for 3–6 bullet points. Link each implication to Husserl construct(s).</t>
  </si>
  <si>
    <t>Any operationalization/implementation proposal.</t>
  </si>
  <si>
    <t>Note whether conceptual only or includes concrete procedures/experiments.</t>
  </si>
  <si>
    <t xml:space="preserve">Key claims </t>
  </si>
  <si>
    <t>Capture 2–5 main claims; keep close to authors’ wording.</t>
  </si>
  <si>
    <t>Type of evidence.</t>
  </si>
  <si>
    <t>theoretical_argument; conceptual_framework; empirical_study; design_prototype; review/position; mixed</t>
  </si>
  <si>
    <t>Limitations acknowledged by authors.</t>
  </si>
  <si>
    <t>Short notes; useful for Discussion.</t>
  </si>
  <si>
    <t>Free-form memo for tricky cases and decisions.</t>
  </si>
  <si>
    <t>Document borderline Husserl anchoring decisions.</t>
  </si>
  <si>
    <t>dedup</t>
  </si>
  <si>
    <t>not_ai_or_robotics</t>
  </si>
  <si>
    <t>no</t>
  </si>
  <si>
    <t>exclude</t>
  </si>
  <si>
    <t>title_screen</t>
  </si>
  <si>
    <t>no_husserl_anchor</t>
  </si>
  <si>
    <t>not_retrieved</t>
  </si>
  <si>
    <t>conference_paper</t>
  </si>
  <si>
    <t>maybe/seek_full_text</t>
  </si>
  <si>
    <t>abstract_screen</t>
  </si>
  <si>
    <t>non_husserl_phenomenology_only</t>
  </si>
  <si>
    <t>husserl_secondary_discussion</t>
  </si>
  <si>
    <t>empirical_study</t>
  </si>
  <si>
    <t>not_needed</t>
  </si>
  <si>
    <t>book</t>
  </si>
  <si>
    <t>out_of_scope_topic</t>
  </si>
  <si>
    <t>unclear</t>
  </si>
  <si>
    <t>yes (implemented in study design)</t>
  </si>
  <si>
    <t>evaluation/metrics</t>
  </si>
  <si>
    <t>evaluation_guidance</t>
  </si>
  <si>
    <t>design_prototype</t>
  </si>
  <si>
    <t>pending</t>
  </si>
  <si>
    <t>included</t>
  </si>
  <si>
    <t>non_english</t>
  </si>
  <si>
    <t>preprint</t>
  </si>
  <si>
    <t>outside_year_range</t>
  </si>
  <si>
    <t>evaluation_criterion</t>
  </si>
  <si>
    <t>other</t>
  </si>
  <si>
    <t>insufficient_information</t>
  </si>
  <si>
    <t>ontology_of_mind</t>
  </si>
  <si>
    <t>duplicate</t>
  </si>
  <si>
    <t>epistemology_of_ai</t>
  </si>
  <si>
    <t>Mode</t>
  </si>
  <si>
    <t>Formal corpus count</t>
  </si>
  <si>
    <t>Formal denominator</t>
  </si>
  <si>
    <t>Formal proportion</t>
  </si>
  <si>
    <t>External count</t>
  </si>
  <si>
    <t>External denominator</t>
  </si>
  <si>
    <t>External proportion</t>
  </si>
  <si>
    <t>Distinct publications with methodological_import OR design_guidance</t>
  </si>
  <si>
    <t>Denominator note</t>
  </si>
  <si>
    <t>Counts are publications; modes may overlap. Do not pool the two evidence sets.</t>
  </si>
  <si>
    <t>Workbook row</t>
  </si>
  <si>
    <t>1</t>
  </si>
  <si>
    <t>Intermittent Legitimacy: Hans Blumenberg and Artificial Intelligence</t>
  </si>
  <si>
    <t>10</t>
  </si>
  <si>
    <t>The Dynamical Systems Accounts for Phenomenology of Immanent Time: An Interpretation by Revisiting a Robotics Synthetic Study</t>
  </si>
  <si>
    <t>12</t>
  </si>
  <si>
    <t>Phenomenology and Artificial Intelligence</t>
  </si>
  <si>
    <t xml:space="preserve"> yes (procedural steps described)</t>
  </si>
  <si>
    <t>120</t>
  </si>
  <si>
    <t>Connectionism about human agency: responsible AI and the social lifeworld</t>
  </si>
  <si>
    <t>13</t>
  </si>
  <si>
    <t>For a contextualist and content-related understanding of the difference between human and artificial intelligence</t>
  </si>
  <si>
    <t>conceptual_translation; critique/limits</t>
  </si>
  <si>
    <t>14</t>
  </si>
  <si>
    <t>Animation, Automata, Biomimesis</t>
  </si>
  <si>
    <t>17</t>
  </si>
  <si>
    <t>Skillful Coping: Essays on the phenomenology of everyday perception and action</t>
  </si>
  <si>
    <t>176</t>
  </si>
  <si>
    <t>Articulation of sensory-motor experiences by forwarding forward model: from robot experiments to phenomenology</t>
  </si>
  <si>
    <t>198</t>
  </si>
  <si>
    <t>A Hybrid Human-Neurorobotics Approach to Primary Intersubjectivity via Active Inference</t>
  </si>
  <si>
    <t>2</t>
  </si>
  <si>
    <t>Machine Translation: Early Criticisms Revisited</t>
  </si>
  <si>
    <t>Analysing AI via Husserl and Kuhn How a Phenomenological Approach to Artificial Intelligence Imposes a Paradigm Shift</t>
  </si>
  <si>
    <t>24</t>
  </si>
  <si>
    <t>Human Beings and Robots: A Matter of Teleology?</t>
  </si>
  <si>
    <t>partially</t>
  </si>
  <si>
    <t>29</t>
  </si>
  <si>
    <t>The Unbearable Heaviness of Being in Phenomenologist AI</t>
  </si>
  <si>
    <t>3</t>
  </si>
  <si>
    <t>Generative AIs, more-than-human authorship, and Husserl’s phenomenological ‘horizons’</t>
  </si>
  <si>
    <t>Philosophical, Experimental and Synthetic Phenomenology: The Study of Perception for Biological, Artificial Agents and Environments</t>
  </si>
  <si>
    <t>30</t>
  </si>
  <si>
    <t>Artificial Interactionism: Avoiding Isolating Perception From Cognition in AI</t>
  </si>
  <si>
    <t xml:space="preserve"> yes (implemented in study design)</t>
  </si>
  <si>
    <t>32</t>
  </si>
  <si>
    <t>Intentionality, Intuition and the Computational Theory of Mind</t>
  </si>
  <si>
    <t>322</t>
  </si>
  <si>
    <t>A Critical Understanding of Artificial Intelligence: A Phenomenological Foundation</t>
  </si>
  <si>
    <t>344</t>
  </si>
  <si>
    <t>On the Consciousness of Robots</t>
  </si>
  <si>
    <t>398</t>
  </si>
  <si>
    <t>AN ARCHITECTURE OF EMOTION-BASED BEHAVIOR SELECTION FOR MOBILE ROBOTS</t>
  </si>
  <si>
    <t>4</t>
  </si>
  <si>
    <t>Robodiment, Self and Temporality:Phenomenological Insights for Cognitive Architectures in Robotics</t>
  </si>
  <si>
    <t>Organizational reflections of the relationship between artificial ıntelligence and emotional ıntelligence in the context of phenomenology and Cartesian dualism</t>
  </si>
  <si>
    <t>477</t>
  </si>
  <si>
    <t>Motions with Emotions?</t>
  </si>
  <si>
    <t>56</t>
  </si>
  <si>
    <t>Ghost in the Machine: Examining the Philosophical Implications of Recursive Algorithms in Artificial Intelligence Systems</t>
  </si>
  <si>
    <t>61</t>
  </si>
  <si>
    <t>Interaction and the Genesis of Experience: A Phenomenological Contribution for Meaningful Embodied Artificial Intelligence</t>
  </si>
  <si>
    <t>71</t>
  </si>
  <si>
    <t>Artificial Intelligence and the Phenomenology of Flesh</t>
  </si>
  <si>
    <t>726</t>
  </si>
  <si>
    <t>Transforming phenomenological sociology for virtual personalities and virtual worlds</t>
  </si>
  <si>
    <t>8</t>
  </si>
  <si>
    <t>Phenomenology and Sex Robots: A Phenomenological Analysis of Sex Robots, Threesomes, and Love Relationships</t>
  </si>
  <si>
    <t>Phenomenology and artificial intelligence: Husserl learns Chinese</t>
  </si>
  <si>
    <t>85</t>
  </si>
  <si>
    <t>Phenomenology of the Turing test: a Levinasian perspective</t>
  </si>
  <si>
    <t xml:space="preserve">partially (conceptual) </t>
  </si>
  <si>
    <t>9</t>
  </si>
  <si>
    <t>Human Nature, Time-Consciousness, and the New Frontiers of Artificial Intelligence—An Inquiry from the Perspective of Phenomenology and the Eastern School of Mind</t>
  </si>
  <si>
    <t>The Early Work of Husserl and Artificial Intelligence</t>
  </si>
  <si>
    <t>Scenario</t>
  </si>
  <si>
    <t>Method/design n</t>
  </si>
  <si>
    <t>Denominator</t>
  </si>
  <si>
    <t>Proportion</t>
  </si>
  <si>
    <t>Main chart</t>
  </si>
  <si>
    <t>Dual mode for PP05</t>
  </si>
  <si>
    <t>Single primary PP05</t>
  </si>
  <si>
    <t>Remove PP05 design only</t>
  </si>
  <si>
    <t>Conceptual PP02</t>
  </si>
  <si>
    <t>Recode PP02 as conceptual translation</t>
  </si>
  <si>
    <t>Broader PP06</t>
  </si>
  <si>
    <t>Recode PP06 as methodological import</t>
  </si>
  <si>
    <t>Broader PP03</t>
  </si>
  <si>
    <t>Recode PP03 as design guidance</t>
  </si>
  <si>
    <t>Item</t>
  </si>
  <si>
    <t>Explanation</t>
  </si>
  <si>
    <t>Scope</t>
  </si>
  <si>
    <t>Nine-record supplementary external check. No addition to the formal 32-publication corpus.</t>
  </si>
  <si>
    <t>Codebook</t>
  </si>
  <si>
    <t>Original_Codebook and Original_ValidationLists reproduce the existing instrument; they have not been revised.</t>
  </si>
  <si>
    <t>Five observed modes</t>
  </si>
  <si>
    <t>The instrument permits seven values; five occur in the original corpus. Evaluation guidance and other are zero in both sets.</t>
  </si>
  <si>
    <t>Multi-coding</t>
  </si>
  <si>
    <t>Original Cibotaru row has two modes; external PP05 has two modes. Counts use publication denominators.</t>
  </si>
  <si>
    <t>Eligibility</t>
  </si>
  <si>
    <t>decision=include means eligible for external charting; formal_corpus_member=False for all nine.</t>
  </si>
  <si>
    <t>Provenance</t>
  </si>
  <si>
    <t>Query-to-record PhilPapers logs were not available. search_string_origin is intentionally blank.</t>
  </si>
  <si>
    <t>Coding validation</t>
  </si>
  <si>
    <t>The corresponding author performed the charting and made all coding assignments. An AI tool set up the workbook, transcribed the published abstracts, and proposed page locators; the corresponding author verified these against the full texts. No AI tool assigned codes. No independent second coding or inter-rater reliability assessment was performed.</t>
  </si>
  <si>
    <t>Protocol</t>
  </si>
  <si>
    <t>When this workbook was first prepared (2026-09-06), the repository contained workflow materials but no separate protocol file. The retrospectively consolidated review_protocol.md has since been added (version 1.1); it is not prospective documentation.</t>
  </si>
  <si>
    <t>Generative AI</t>
  </si>
  <si>
    <t>language_models is retained as the original broad generative-AI group for GAN/art papers; these are not LLM studies.</t>
  </si>
  <si>
    <t>Poljansek PDF</t>
  </si>
  <si>
    <t>Complete 12-page publisher PDF available locally; published pages 493–504 identify IOS Press 2025.</t>
  </si>
  <si>
    <t>Abstracts</t>
  </si>
  <si>
    <t>Eight published abstracts are transcribed from the source PDFs, with locators and typographic line wrapping normalized. PP06 has no published abstract in its PDF or publisher article page; its abstract field is blank and the absence is documented.</t>
  </si>
  <si>
    <t>Source texts</t>
  </si>
  <si>
    <t>Source PDFs are for local research use, not submission attachments.</t>
  </si>
  <si>
    <t>Stable identification</t>
  </si>
  <si>
    <t>Original record_id values are not globally unique; Baseline_modes also records row and title.</t>
  </si>
  <si>
    <t>Formula verification</t>
  </si>
  <si>
    <t>External mode counts should be 4,2,1,1,2. Method/design union: 3/9. Original modes: 11,8,7,6,1; union 7/32.</t>
  </si>
  <si>
    <t>Raw export</t>
  </si>
  <si>
    <t>rohdaten_combined_20251205_141147.csv (repository root) is the combined retrieval export used for the normalized-title check; verify_external_title_check.py reproduces the check, including a positive control.</t>
  </si>
  <si>
    <t>Coding sensitivity</t>
  </si>
  <si>
    <t>Five rows: main chart, two lower one-change scenarios (single primary PP05; conceptual PP02) and two higher ones (broader PP06; broader PP03). Main assignments are unchanged.</t>
  </si>
  <si>
    <t>Document history</t>
  </si>
  <si>
    <t>First version 2026-09-06. Documentation update 2 October 2026: charting and AI-use clarification, PP02 scenario, PP04 final pagination, protocol and raw-export notes. No coding assignment or count 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</si>
</sst>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24476A"/>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0" borderId="0" xfId="0" applyAlignment="1">
      <alignment vertical="top" wrapText="1"/>
    </xf>
    <xf numFmtId="164" fontId="0" fillId="0" borderId="0" xfId="0" applyNumberFormat="1"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
  <sheetViews>
    <sheetView tabSelected="1" zoomScale="85" workbookViewId="0">
      <pane xSplit="2" ySplit="1" topLeftCell="C2" activePane="bottomRight" state="frozen"/>
      <selection pane="topRight"/>
      <selection pane="bottomLeft"/>
      <selection pane="bottomRight"/>
    </sheetView>
  </sheetViews>
  <sheetFormatPr baseColWidth="10" defaultColWidth="9.140625" defaultRowHeight="15" x14ac:dyDescent="0.25"/>
  <cols>
    <col min="1" max="1" width="14" customWidth="1"/>
    <col min="2" max="2" width="58" customWidth="1"/>
    <col min="3" max="3" width="28" customWidth="1"/>
    <col min="4" max="50" width="42" customWidth="1"/>
  </cols>
  <sheetData>
    <row r="1" spans="1:5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ht="170.1" customHeight="1" x14ac:dyDescent="0.25">
      <c r="A2" s="2" t="s">
        <v>50</v>
      </c>
      <c r="B2" s="2" t="s">
        <v>51</v>
      </c>
      <c r="C2" s="2" t="s">
        <v>52</v>
      </c>
      <c r="D2" s="2">
        <v>2022</v>
      </c>
      <c r="E2" s="2" t="s">
        <v>53</v>
      </c>
      <c r="F2" s="2" t="s">
        <v>54</v>
      </c>
      <c r="G2" s="2" t="s">
        <v>55</v>
      </c>
      <c r="H2" s="2" t="s">
        <v>56</v>
      </c>
      <c r="I2" s="2" t="b">
        <v>1</v>
      </c>
      <c r="J2" s="2" t="s">
        <v>57</v>
      </c>
      <c r="K2" s="2"/>
      <c r="L2" s="2" t="s">
        <v>58</v>
      </c>
      <c r="M2" s="2" t="s">
        <v>59</v>
      </c>
      <c r="N2" s="2" t="s">
        <v>60</v>
      </c>
      <c r="O2" s="2"/>
      <c r="P2" s="2" t="s">
        <v>61</v>
      </c>
      <c r="Q2" s="2" t="s">
        <v>62</v>
      </c>
      <c r="R2" s="2" t="s">
        <v>63</v>
      </c>
      <c r="S2" s="2" t="s">
        <v>64</v>
      </c>
      <c r="T2" s="2">
        <v>2</v>
      </c>
      <c r="U2" s="2" t="s">
        <v>65</v>
      </c>
      <c r="V2" s="2" t="s">
        <v>66</v>
      </c>
      <c r="W2" s="2" t="s">
        <v>67</v>
      </c>
      <c r="X2" s="2" t="s">
        <v>68</v>
      </c>
      <c r="Y2" s="2" t="s">
        <v>69</v>
      </c>
      <c r="Z2" s="2" t="s">
        <v>70</v>
      </c>
      <c r="AA2" s="2" t="s">
        <v>71</v>
      </c>
      <c r="AB2" s="2" t="s">
        <v>72</v>
      </c>
      <c r="AC2" s="2" t="s">
        <v>73</v>
      </c>
      <c r="AD2" s="2" t="s">
        <v>74</v>
      </c>
      <c r="AE2" s="2" t="s">
        <v>75</v>
      </c>
      <c r="AF2" s="2" t="s">
        <v>76</v>
      </c>
      <c r="AG2" s="2"/>
      <c r="AH2" s="2"/>
      <c r="AI2" s="2"/>
      <c r="AJ2" s="2"/>
      <c r="AK2" s="2"/>
      <c r="AL2" s="2" t="s">
        <v>50</v>
      </c>
      <c r="AM2" s="2">
        <v>54</v>
      </c>
      <c r="AN2" s="2" t="s">
        <v>69</v>
      </c>
      <c r="AO2" s="2" t="s">
        <v>77</v>
      </c>
      <c r="AP2" s="2" t="s">
        <v>78</v>
      </c>
      <c r="AQ2" s="2" t="s">
        <v>79</v>
      </c>
      <c r="AR2" s="2" t="s">
        <v>76</v>
      </c>
      <c r="AS2" s="2" t="s">
        <v>80</v>
      </c>
      <c r="AT2" s="2" t="b">
        <v>0</v>
      </c>
      <c r="AU2" s="2" t="s">
        <v>81</v>
      </c>
      <c r="AV2" s="2" t="s">
        <v>82</v>
      </c>
      <c r="AW2" s="2" t="s">
        <v>83</v>
      </c>
      <c r="AX2" s="2" t="s">
        <v>84</v>
      </c>
    </row>
    <row r="3" spans="1:50" ht="170.1" customHeight="1" x14ac:dyDescent="0.25">
      <c r="A3" s="2" t="s">
        <v>85</v>
      </c>
      <c r="B3" s="2" t="s">
        <v>86</v>
      </c>
      <c r="C3" s="2" t="s">
        <v>87</v>
      </c>
      <c r="D3" s="2">
        <v>2020</v>
      </c>
      <c r="E3" s="2" t="s">
        <v>88</v>
      </c>
      <c r="F3" s="2" t="s">
        <v>54</v>
      </c>
      <c r="G3" s="2" t="s">
        <v>89</v>
      </c>
      <c r="H3" s="2" t="s">
        <v>90</v>
      </c>
      <c r="I3" s="2" t="b">
        <v>1</v>
      </c>
      <c r="J3" s="2" t="s">
        <v>57</v>
      </c>
      <c r="K3" s="2"/>
      <c r="L3" s="2" t="s">
        <v>91</v>
      </c>
      <c r="M3" s="2" t="s">
        <v>59</v>
      </c>
      <c r="N3" s="2" t="s">
        <v>60</v>
      </c>
      <c r="O3" s="2"/>
      <c r="P3" s="2" t="s">
        <v>61</v>
      </c>
      <c r="Q3" s="2" t="s">
        <v>92</v>
      </c>
      <c r="R3" s="2" t="s">
        <v>93</v>
      </c>
      <c r="S3" s="2" t="s">
        <v>94</v>
      </c>
      <c r="T3" s="2">
        <v>2</v>
      </c>
      <c r="U3" s="2" t="s">
        <v>65</v>
      </c>
      <c r="V3" s="2" t="s">
        <v>66</v>
      </c>
      <c r="W3" s="2" t="s">
        <v>95</v>
      </c>
      <c r="X3" s="2" t="s">
        <v>96</v>
      </c>
      <c r="Y3" s="2" t="s">
        <v>97</v>
      </c>
      <c r="Z3" s="2" t="s">
        <v>98</v>
      </c>
      <c r="AA3" s="2" t="s">
        <v>99</v>
      </c>
      <c r="AB3" s="2" t="s">
        <v>100</v>
      </c>
      <c r="AC3" s="2" t="s">
        <v>101</v>
      </c>
      <c r="AD3" s="2" t="s">
        <v>102</v>
      </c>
      <c r="AE3" s="2" t="s">
        <v>103</v>
      </c>
      <c r="AF3" s="2" t="s">
        <v>104</v>
      </c>
      <c r="AG3" s="2"/>
      <c r="AH3" s="2"/>
      <c r="AI3" s="2"/>
      <c r="AJ3" s="2"/>
      <c r="AK3" s="2"/>
      <c r="AL3" s="2" t="s">
        <v>85</v>
      </c>
      <c r="AM3" s="2">
        <v>55</v>
      </c>
      <c r="AN3" s="2" t="s">
        <v>97</v>
      </c>
      <c r="AO3" s="2" t="s">
        <v>105</v>
      </c>
      <c r="AP3" s="2" t="s">
        <v>106</v>
      </c>
      <c r="AQ3" s="2" t="s">
        <v>107</v>
      </c>
      <c r="AR3" s="2" t="s">
        <v>108</v>
      </c>
      <c r="AS3" s="2" t="s">
        <v>109</v>
      </c>
      <c r="AT3" s="2" t="b">
        <v>0</v>
      </c>
      <c r="AU3" s="2" t="s">
        <v>81</v>
      </c>
      <c r="AV3" s="2" t="s">
        <v>82</v>
      </c>
      <c r="AW3" s="2" t="s">
        <v>83</v>
      </c>
      <c r="AX3" s="2" t="s">
        <v>110</v>
      </c>
    </row>
    <row r="4" spans="1:50" ht="170.1" customHeight="1" x14ac:dyDescent="0.25">
      <c r="A4" s="2" t="s">
        <v>111</v>
      </c>
      <c r="B4" s="2" t="s">
        <v>112</v>
      </c>
      <c r="C4" s="2" t="s">
        <v>113</v>
      </c>
      <c r="D4" s="2">
        <v>2025</v>
      </c>
      <c r="E4" s="2" t="s">
        <v>114</v>
      </c>
      <c r="F4" s="2" t="s">
        <v>115</v>
      </c>
      <c r="G4" s="2" t="s">
        <v>116</v>
      </c>
      <c r="H4" s="2" t="s">
        <v>117</v>
      </c>
      <c r="I4" s="2" t="b">
        <v>1</v>
      </c>
      <c r="J4" s="2" t="s">
        <v>57</v>
      </c>
      <c r="K4" s="2"/>
      <c r="L4" s="2" t="s">
        <v>118</v>
      </c>
      <c r="M4" s="2" t="s">
        <v>59</v>
      </c>
      <c r="N4" s="2" t="s">
        <v>60</v>
      </c>
      <c r="O4" s="2"/>
      <c r="P4" s="2" t="s">
        <v>61</v>
      </c>
      <c r="Q4" s="2" t="s">
        <v>119</v>
      </c>
      <c r="R4" s="2" t="s">
        <v>120</v>
      </c>
      <c r="S4" s="2" t="s">
        <v>121</v>
      </c>
      <c r="T4" s="2">
        <v>2</v>
      </c>
      <c r="U4" s="2" t="s">
        <v>65</v>
      </c>
      <c r="V4" s="2" t="s">
        <v>66</v>
      </c>
      <c r="W4" s="2" t="s">
        <v>122</v>
      </c>
      <c r="X4" s="2" t="s">
        <v>68</v>
      </c>
      <c r="Y4" s="2" t="s">
        <v>123</v>
      </c>
      <c r="Z4" s="2" t="s">
        <v>124</v>
      </c>
      <c r="AA4" s="2" t="s">
        <v>125</v>
      </c>
      <c r="AB4" s="2" t="s">
        <v>126</v>
      </c>
      <c r="AC4" s="2" t="s">
        <v>101</v>
      </c>
      <c r="AD4" s="2" t="s">
        <v>127</v>
      </c>
      <c r="AE4" s="2" t="s">
        <v>128</v>
      </c>
      <c r="AF4" s="2" t="s">
        <v>129</v>
      </c>
      <c r="AG4" s="2"/>
      <c r="AH4" s="2"/>
      <c r="AI4" s="2"/>
      <c r="AJ4" s="2"/>
      <c r="AK4" s="2"/>
      <c r="AL4" s="2" t="s">
        <v>111</v>
      </c>
      <c r="AM4" s="2">
        <v>56</v>
      </c>
      <c r="AN4" s="2" t="s">
        <v>123</v>
      </c>
      <c r="AO4" s="2" t="s">
        <v>130</v>
      </c>
      <c r="AP4" s="2" t="s">
        <v>131</v>
      </c>
      <c r="AQ4" s="2" t="s">
        <v>132</v>
      </c>
      <c r="AR4" s="2" t="s">
        <v>133</v>
      </c>
      <c r="AS4" s="2" t="s">
        <v>134</v>
      </c>
      <c r="AT4" s="2" t="b">
        <v>0</v>
      </c>
      <c r="AU4" s="2" t="s">
        <v>81</v>
      </c>
      <c r="AV4" s="2" t="s">
        <v>82</v>
      </c>
      <c r="AW4" s="2" t="s">
        <v>83</v>
      </c>
      <c r="AX4" s="2" t="s">
        <v>135</v>
      </c>
    </row>
    <row r="5" spans="1:50" ht="170.1" customHeight="1" x14ac:dyDescent="0.25">
      <c r="A5" s="2" t="s">
        <v>136</v>
      </c>
      <c r="B5" s="2" t="s">
        <v>137</v>
      </c>
      <c r="C5" s="2" t="s">
        <v>138</v>
      </c>
      <c r="D5" s="2">
        <v>2026</v>
      </c>
      <c r="E5" s="2" t="s">
        <v>139</v>
      </c>
      <c r="F5" s="2" t="s">
        <v>54</v>
      </c>
      <c r="G5" s="2" t="s">
        <v>140</v>
      </c>
      <c r="H5" s="2" t="s">
        <v>141</v>
      </c>
      <c r="I5" s="2" t="b">
        <v>1</v>
      </c>
      <c r="J5" s="2" t="s">
        <v>57</v>
      </c>
      <c r="K5" s="2"/>
      <c r="L5" s="2" t="s">
        <v>142</v>
      </c>
      <c r="M5" s="2" t="s">
        <v>59</v>
      </c>
      <c r="N5" s="2" t="s">
        <v>60</v>
      </c>
      <c r="O5" s="2"/>
      <c r="P5" s="2" t="s">
        <v>61</v>
      </c>
      <c r="Q5" s="2" t="s">
        <v>143</v>
      </c>
      <c r="R5" s="2" t="s">
        <v>144</v>
      </c>
      <c r="S5" s="2" t="s">
        <v>145</v>
      </c>
      <c r="T5" s="2">
        <v>3</v>
      </c>
      <c r="U5" s="2" t="s">
        <v>146</v>
      </c>
      <c r="V5" s="2" t="s">
        <v>147</v>
      </c>
      <c r="W5" s="2" t="s">
        <v>95</v>
      </c>
      <c r="X5" s="2" t="s">
        <v>68</v>
      </c>
      <c r="Y5" s="2" t="s">
        <v>148</v>
      </c>
      <c r="Z5" s="2" t="s">
        <v>149</v>
      </c>
      <c r="AA5" s="2" t="s">
        <v>150</v>
      </c>
      <c r="AB5" s="2" t="s">
        <v>151</v>
      </c>
      <c r="AC5" s="2" t="s">
        <v>152</v>
      </c>
      <c r="AD5" s="2" t="s">
        <v>153</v>
      </c>
      <c r="AE5" s="2" t="s">
        <v>154</v>
      </c>
      <c r="AF5" s="2" t="s">
        <v>155</v>
      </c>
      <c r="AG5" s="2"/>
      <c r="AH5" s="2"/>
      <c r="AI5" s="2"/>
      <c r="AJ5" s="2"/>
      <c r="AK5" s="2"/>
      <c r="AL5" s="2" t="s">
        <v>136</v>
      </c>
      <c r="AM5" s="2">
        <v>57</v>
      </c>
      <c r="AN5" s="2" t="s">
        <v>148</v>
      </c>
      <c r="AO5" s="2" t="s">
        <v>156</v>
      </c>
      <c r="AP5" s="2" t="s">
        <v>157</v>
      </c>
      <c r="AQ5" s="2" t="s">
        <v>158</v>
      </c>
      <c r="AR5" s="2" t="s">
        <v>159</v>
      </c>
      <c r="AS5" s="2" t="s">
        <v>160</v>
      </c>
      <c r="AT5" s="2" t="b">
        <v>0</v>
      </c>
      <c r="AU5" s="2" t="s">
        <v>81</v>
      </c>
      <c r="AV5" s="2" t="s">
        <v>82</v>
      </c>
      <c r="AW5" s="2" t="s">
        <v>83</v>
      </c>
      <c r="AX5" s="2" t="s">
        <v>161</v>
      </c>
    </row>
    <row r="6" spans="1:50" ht="170.1" customHeight="1" x14ac:dyDescent="0.25">
      <c r="A6" s="2" t="s">
        <v>162</v>
      </c>
      <c r="B6" s="2" t="s">
        <v>163</v>
      </c>
      <c r="C6" s="2" t="s">
        <v>164</v>
      </c>
      <c r="D6" s="2">
        <v>2023</v>
      </c>
      <c r="E6" s="2" t="s">
        <v>165</v>
      </c>
      <c r="F6" s="2" t="s">
        <v>54</v>
      </c>
      <c r="G6" s="2" t="s">
        <v>166</v>
      </c>
      <c r="H6" s="2" t="s">
        <v>167</v>
      </c>
      <c r="I6" s="2" t="b">
        <v>1</v>
      </c>
      <c r="J6" s="2" t="s">
        <v>57</v>
      </c>
      <c r="K6" s="2"/>
      <c r="L6" s="2" t="s">
        <v>168</v>
      </c>
      <c r="M6" s="2" t="s">
        <v>59</v>
      </c>
      <c r="N6" s="2" t="s">
        <v>60</v>
      </c>
      <c r="O6" s="2"/>
      <c r="P6" s="2" t="s">
        <v>61</v>
      </c>
      <c r="Q6" s="2" t="s">
        <v>169</v>
      </c>
      <c r="R6" s="2" t="s">
        <v>170</v>
      </c>
      <c r="S6" s="2" t="s">
        <v>171</v>
      </c>
      <c r="T6" s="2">
        <v>3</v>
      </c>
      <c r="U6" s="2" t="s">
        <v>65</v>
      </c>
      <c r="V6" s="2" t="s">
        <v>66</v>
      </c>
      <c r="W6" s="2" t="s">
        <v>172</v>
      </c>
      <c r="X6" s="2" t="s">
        <v>173</v>
      </c>
      <c r="Y6" s="2" t="s">
        <v>174</v>
      </c>
      <c r="Z6" s="2" t="s">
        <v>175</v>
      </c>
      <c r="AA6" s="2" t="s">
        <v>176</v>
      </c>
      <c r="AB6" s="2" t="s">
        <v>177</v>
      </c>
      <c r="AC6" s="2" t="s">
        <v>73</v>
      </c>
      <c r="AD6" s="2" t="s">
        <v>178</v>
      </c>
      <c r="AE6" s="2" t="s">
        <v>179</v>
      </c>
      <c r="AF6" s="2" t="s">
        <v>180</v>
      </c>
      <c r="AG6" s="2"/>
      <c r="AH6" s="2"/>
      <c r="AI6" s="2"/>
      <c r="AJ6" s="2"/>
      <c r="AK6" s="2"/>
      <c r="AL6" s="2" t="s">
        <v>162</v>
      </c>
      <c r="AM6" s="2">
        <v>58</v>
      </c>
      <c r="AN6" s="2" t="s">
        <v>181</v>
      </c>
      <c r="AO6" s="2" t="s">
        <v>182</v>
      </c>
      <c r="AP6" s="2" t="s">
        <v>183</v>
      </c>
      <c r="AQ6" s="2" t="s">
        <v>184</v>
      </c>
      <c r="AR6" s="2" t="s">
        <v>185</v>
      </c>
      <c r="AS6" s="2" t="s">
        <v>186</v>
      </c>
      <c r="AT6" s="2" t="b">
        <v>0</v>
      </c>
      <c r="AU6" s="2" t="s">
        <v>81</v>
      </c>
      <c r="AV6" s="2" t="s">
        <v>82</v>
      </c>
      <c r="AW6" s="2" t="s">
        <v>83</v>
      </c>
      <c r="AX6" s="2" t="s">
        <v>187</v>
      </c>
    </row>
    <row r="7" spans="1:50" ht="170.1" customHeight="1" x14ac:dyDescent="0.25">
      <c r="A7" s="2" t="s">
        <v>188</v>
      </c>
      <c r="B7" s="2" t="s">
        <v>189</v>
      </c>
      <c r="C7" s="2" t="s">
        <v>190</v>
      </c>
      <c r="D7" s="2">
        <v>2023</v>
      </c>
      <c r="E7" s="2" t="s">
        <v>191</v>
      </c>
      <c r="F7" s="2" t="s">
        <v>54</v>
      </c>
      <c r="G7" s="2" t="s">
        <v>192</v>
      </c>
      <c r="H7" s="2" t="s">
        <v>193</v>
      </c>
      <c r="I7" s="2" t="b">
        <v>0</v>
      </c>
      <c r="J7" s="2" t="s">
        <v>57</v>
      </c>
      <c r="K7" s="2"/>
      <c r="L7" s="2"/>
      <c r="M7" s="2" t="s">
        <v>59</v>
      </c>
      <c r="N7" s="2" t="s">
        <v>60</v>
      </c>
      <c r="O7" s="2"/>
      <c r="P7" s="2" t="s">
        <v>61</v>
      </c>
      <c r="Q7" s="2" t="s">
        <v>194</v>
      </c>
      <c r="R7" s="2" t="s">
        <v>195</v>
      </c>
      <c r="S7" s="2" t="s">
        <v>121</v>
      </c>
      <c r="T7" s="2">
        <v>3</v>
      </c>
      <c r="U7" s="2" t="s">
        <v>65</v>
      </c>
      <c r="V7" s="2" t="s">
        <v>196</v>
      </c>
      <c r="W7" s="2" t="s">
        <v>197</v>
      </c>
      <c r="X7" s="2" t="s">
        <v>198</v>
      </c>
      <c r="Y7" s="2" t="s">
        <v>69</v>
      </c>
      <c r="Z7" s="2" t="s">
        <v>199</v>
      </c>
      <c r="AA7" s="2" t="s">
        <v>200</v>
      </c>
      <c r="AB7" s="2" t="s">
        <v>201</v>
      </c>
      <c r="AC7" s="2" t="s">
        <v>73</v>
      </c>
      <c r="AD7" s="2" t="s">
        <v>202</v>
      </c>
      <c r="AE7" s="2" t="s">
        <v>203</v>
      </c>
      <c r="AF7" s="2" t="s">
        <v>204</v>
      </c>
      <c r="AG7" s="2"/>
      <c r="AH7" s="2"/>
      <c r="AI7" s="2"/>
      <c r="AJ7" s="2"/>
      <c r="AK7" s="2"/>
      <c r="AL7" s="2" t="s">
        <v>188</v>
      </c>
      <c r="AM7" s="2">
        <v>59</v>
      </c>
      <c r="AN7" s="2" t="s">
        <v>69</v>
      </c>
      <c r="AO7" s="2" t="s">
        <v>205</v>
      </c>
      <c r="AP7" s="2" t="s">
        <v>206</v>
      </c>
      <c r="AQ7" s="2" t="s">
        <v>207</v>
      </c>
      <c r="AR7" s="2" t="s">
        <v>208</v>
      </c>
      <c r="AS7" s="2" t="s">
        <v>209</v>
      </c>
      <c r="AT7" s="2" t="b">
        <v>0</v>
      </c>
      <c r="AU7" s="2" t="s">
        <v>81</v>
      </c>
      <c r="AV7" s="2" t="s">
        <v>210</v>
      </c>
      <c r="AW7" s="2" t="s">
        <v>211</v>
      </c>
      <c r="AX7" s="2" t="s">
        <v>212</v>
      </c>
    </row>
    <row r="8" spans="1:50" ht="170.1" customHeight="1" x14ac:dyDescent="0.25">
      <c r="A8" s="2" t="s">
        <v>213</v>
      </c>
      <c r="B8" s="2" t="s">
        <v>214</v>
      </c>
      <c r="C8" s="2" t="s">
        <v>215</v>
      </c>
      <c r="D8" s="2">
        <v>2023</v>
      </c>
      <c r="E8" s="2" t="s">
        <v>216</v>
      </c>
      <c r="F8" s="2" t="s">
        <v>54</v>
      </c>
      <c r="G8" s="2" t="s">
        <v>217</v>
      </c>
      <c r="H8" s="2" t="s">
        <v>218</v>
      </c>
      <c r="I8" s="2" t="b">
        <v>1</v>
      </c>
      <c r="J8" s="2" t="s">
        <v>57</v>
      </c>
      <c r="K8" s="2"/>
      <c r="L8" s="2" t="s">
        <v>219</v>
      </c>
      <c r="M8" s="2" t="s">
        <v>59</v>
      </c>
      <c r="N8" s="2" t="s">
        <v>60</v>
      </c>
      <c r="O8" s="2"/>
      <c r="P8" s="2" t="s">
        <v>61</v>
      </c>
      <c r="Q8" s="2" t="s">
        <v>220</v>
      </c>
      <c r="R8" s="2" t="s">
        <v>221</v>
      </c>
      <c r="S8" s="2" t="s">
        <v>64</v>
      </c>
      <c r="T8" s="2">
        <v>3</v>
      </c>
      <c r="U8" s="2" t="s">
        <v>65</v>
      </c>
      <c r="V8" s="2" t="s">
        <v>66</v>
      </c>
      <c r="W8" s="2" t="s">
        <v>222</v>
      </c>
      <c r="X8" s="2" t="s">
        <v>173</v>
      </c>
      <c r="Y8" s="2" t="s">
        <v>69</v>
      </c>
      <c r="Z8" s="2" t="s">
        <v>223</v>
      </c>
      <c r="AA8" s="2" t="s">
        <v>224</v>
      </c>
      <c r="AB8" s="2" t="s">
        <v>225</v>
      </c>
      <c r="AC8" s="2" t="s">
        <v>101</v>
      </c>
      <c r="AD8" s="2" t="s">
        <v>226</v>
      </c>
      <c r="AE8" s="2" t="s">
        <v>227</v>
      </c>
      <c r="AF8" s="2" t="s">
        <v>228</v>
      </c>
      <c r="AG8" s="2"/>
      <c r="AH8" s="2"/>
      <c r="AI8" s="2"/>
      <c r="AJ8" s="2"/>
      <c r="AK8" s="2"/>
      <c r="AL8" s="2" t="s">
        <v>213</v>
      </c>
      <c r="AM8" s="2">
        <v>60</v>
      </c>
      <c r="AN8" s="2" t="s">
        <v>69</v>
      </c>
      <c r="AO8" s="2" t="s">
        <v>229</v>
      </c>
      <c r="AP8" s="2" t="s">
        <v>230</v>
      </c>
      <c r="AQ8" s="2" t="s">
        <v>231</v>
      </c>
      <c r="AR8" s="2" t="s">
        <v>232</v>
      </c>
      <c r="AS8" s="2" t="s">
        <v>233</v>
      </c>
      <c r="AT8" s="2" t="b">
        <v>0</v>
      </c>
      <c r="AU8" s="2" t="s">
        <v>81</v>
      </c>
      <c r="AV8" s="2" t="s">
        <v>82</v>
      </c>
      <c r="AW8" s="2" t="s">
        <v>83</v>
      </c>
      <c r="AX8" s="2" t="s">
        <v>234</v>
      </c>
    </row>
    <row r="9" spans="1:50" ht="170.1" customHeight="1" x14ac:dyDescent="0.25">
      <c r="A9" s="2" t="s">
        <v>235</v>
      </c>
      <c r="B9" s="2" t="s">
        <v>236</v>
      </c>
      <c r="C9" s="2" t="s">
        <v>237</v>
      </c>
      <c r="D9" s="2">
        <v>2022</v>
      </c>
      <c r="E9" s="2" t="s">
        <v>238</v>
      </c>
      <c r="F9" s="2" t="s">
        <v>54</v>
      </c>
      <c r="G9" s="2" t="s">
        <v>239</v>
      </c>
      <c r="H9" s="2" t="s">
        <v>240</v>
      </c>
      <c r="I9" s="2" t="b">
        <v>1</v>
      </c>
      <c r="J9" s="2" t="s">
        <v>57</v>
      </c>
      <c r="K9" s="2"/>
      <c r="L9" s="2" t="s">
        <v>241</v>
      </c>
      <c r="M9" s="2" t="s">
        <v>59</v>
      </c>
      <c r="N9" s="2" t="s">
        <v>60</v>
      </c>
      <c r="O9" s="2"/>
      <c r="P9" s="2" t="s">
        <v>242</v>
      </c>
      <c r="Q9" s="2" t="s">
        <v>243</v>
      </c>
      <c r="R9" s="2" t="s">
        <v>244</v>
      </c>
      <c r="S9" s="2" t="s">
        <v>64</v>
      </c>
      <c r="T9" s="2">
        <v>2</v>
      </c>
      <c r="U9" s="2" t="s">
        <v>65</v>
      </c>
      <c r="V9" s="2" t="s">
        <v>245</v>
      </c>
      <c r="W9" s="2" t="s">
        <v>246</v>
      </c>
      <c r="X9" s="2" t="s">
        <v>247</v>
      </c>
      <c r="Y9" s="2" t="s">
        <v>69</v>
      </c>
      <c r="Z9" s="2" t="s">
        <v>248</v>
      </c>
      <c r="AA9" s="2" t="s">
        <v>249</v>
      </c>
      <c r="AB9" s="2" t="s">
        <v>250</v>
      </c>
      <c r="AC9" s="2" t="s">
        <v>251</v>
      </c>
      <c r="AD9" s="2" t="s">
        <v>252</v>
      </c>
      <c r="AE9" s="2" t="s">
        <v>253</v>
      </c>
      <c r="AF9" s="2" t="s">
        <v>254</v>
      </c>
      <c r="AG9" s="2"/>
      <c r="AH9" s="2"/>
      <c r="AI9" s="2"/>
      <c r="AJ9" s="2"/>
      <c r="AK9" s="2"/>
      <c r="AL9" s="2" t="s">
        <v>235</v>
      </c>
      <c r="AM9" s="2">
        <v>61</v>
      </c>
      <c r="AN9" s="2" t="s">
        <v>69</v>
      </c>
      <c r="AO9" s="2" t="s">
        <v>255</v>
      </c>
      <c r="AP9" s="2" t="s">
        <v>256</v>
      </c>
      <c r="AQ9" s="2" t="s">
        <v>257</v>
      </c>
      <c r="AR9" s="2" t="s">
        <v>258</v>
      </c>
      <c r="AS9" s="2" t="s">
        <v>259</v>
      </c>
      <c r="AT9" s="2" t="b">
        <v>0</v>
      </c>
      <c r="AU9" s="2" t="s">
        <v>81</v>
      </c>
      <c r="AV9" s="2" t="s">
        <v>82</v>
      </c>
      <c r="AW9" s="2" t="s">
        <v>83</v>
      </c>
      <c r="AX9" s="2" t="s">
        <v>260</v>
      </c>
    </row>
    <row r="10" spans="1:50" ht="170.1" customHeight="1" x14ac:dyDescent="0.25">
      <c r="A10" s="2" t="s">
        <v>261</v>
      </c>
      <c r="B10" s="2" t="s">
        <v>262</v>
      </c>
      <c r="C10" s="2" t="s">
        <v>263</v>
      </c>
      <c r="D10" s="2">
        <v>2024</v>
      </c>
      <c r="E10" s="2" t="s">
        <v>264</v>
      </c>
      <c r="F10" s="2" t="s">
        <v>54</v>
      </c>
      <c r="G10" s="2" t="s">
        <v>265</v>
      </c>
      <c r="H10" s="2" t="s">
        <v>266</v>
      </c>
      <c r="I10" s="2" t="b">
        <v>1</v>
      </c>
      <c r="J10" s="2" t="s">
        <v>57</v>
      </c>
      <c r="K10" s="2"/>
      <c r="L10" s="2" t="s">
        <v>267</v>
      </c>
      <c r="M10" s="2" t="s">
        <v>59</v>
      </c>
      <c r="N10" s="2" t="s">
        <v>60</v>
      </c>
      <c r="O10" s="2"/>
      <c r="P10" s="2" t="s">
        <v>61</v>
      </c>
      <c r="Q10" s="2" t="s">
        <v>268</v>
      </c>
      <c r="R10" s="2" t="s">
        <v>269</v>
      </c>
      <c r="S10" s="2" t="s">
        <v>171</v>
      </c>
      <c r="T10" s="2">
        <v>3</v>
      </c>
      <c r="U10" s="2" t="s">
        <v>65</v>
      </c>
      <c r="V10" s="2" t="s">
        <v>270</v>
      </c>
      <c r="W10" s="2" t="s">
        <v>271</v>
      </c>
      <c r="X10" s="2" t="s">
        <v>173</v>
      </c>
      <c r="Y10" s="2" t="s">
        <v>181</v>
      </c>
      <c r="Z10" s="2" t="s">
        <v>272</v>
      </c>
      <c r="AA10" s="2" t="s">
        <v>273</v>
      </c>
      <c r="AB10" s="2" t="s">
        <v>274</v>
      </c>
      <c r="AC10" s="2" t="s">
        <v>73</v>
      </c>
      <c r="AD10" s="2" t="s">
        <v>275</v>
      </c>
      <c r="AE10" s="2" t="s">
        <v>276</v>
      </c>
      <c r="AF10" s="2" t="s">
        <v>277</v>
      </c>
      <c r="AG10" s="2"/>
      <c r="AH10" s="2"/>
      <c r="AI10" s="2"/>
      <c r="AJ10" s="2"/>
      <c r="AK10" s="2"/>
      <c r="AL10" s="2" t="s">
        <v>261</v>
      </c>
      <c r="AM10" s="2">
        <v>50</v>
      </c>
      <c r="AN10" s="2" t="s">
        <v>181</v>
      </c>
      <c r="AO10" s="2" t="s">
        <v>278</v>
      </c>
      <c r="AP10" s="2" t="s">
        <v>279</v>
      </c>
      <c r="AQ10" s="2" t="s">
        <v>280</v>
      </c>
      <c r="AR10" s="2" t="s">
        <v>277</v>
      </c>
      <c r="AS10" s="2" t="s">
        <v>281</v>
      </c>
      <c r="AT10" s="2" t="b">
        <v>0</v>
      </c>
      <c r="AU10" s="2" t="s">
        <v>81</v>
      </c>
      <c r="AV10" s="2" t="s">
        <v>82</v>
      </c>
      <c r="AW10" s="2" t="s">
        <v>83</v>
      </c>
      <c r="AX10" s="2" t="s">
        <v>282</v>
      </c>
    </row>
  </sheetData>
  <autoFilter ref="A1:AX1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zoomScale="85" workbookViewId="0">
      <pane xSplit="2" ySplit="1" topLeftCell="C2" activePane="bottomRight" state="frozen"/>
      <selection pane="topRight"/>
      <selection pane="bottomLeft"/>
      <selection pane="bottomRight"/>
    </sheetView>
  </sheetViews>
  <sheetFormatPr baseColWidth="10" defaultColWidth="9.140625" defaultRowHeight="15" x14ac:dyDescent="0.25"/>
  <cols>
    <col min="1" max="1" width="12" customWidth="1"/>
    <col min="2" max="2" width="52" customWidth="1"/>
    <col min="3" max="3" width="115" customWidth="1"/>
    <col min="4" max="4" width="28" customWidth="1"/>
    <col min="5" max="5" width="58" customWidth="1"/>
  </cols>
  <sheetData>
    <row r="1" spans="1:5" x14ac:dyDescent="0.25">
      <c r="A1" s="1" t="s">
        <v>283</v>
      </c>
      <c r="B1" s="1" t="s">
        <v>284</v>
      </c>
      <c r="C1" s="1" t="s">
        <v>285</v>
      </c>
      <c r="D1" s="1" t="s">
        <v>286</v>
      </c>
      <c r="E1" s="1" t="s">
        <v>287</v>
      </c>
    </row>
    <row r="2" spans="1:5" ht="360" customHeight="1" x14ac:dyDescent="0.25">
      <c r="A2" s="2" t="s">
        <v>50</v>
      </c>
      <c r="B2" s="2" t="s">
        <v>288</v>
      </c>
      <c r="C2" s="2" t="s">
        <v>58</v>
      </c>
      <c r="D2" s="2" t="s">
        <v>83</v>
      </c>
      <c r="E2" s="2" t="s">
        <v>84</v>
      </c>
    </row>
    <row r="3" spans="1:5" ht="360" customHeight="1" x14ac:dyDescent="0.25">
      <c r="A3" s="2" t="s">
        <v>85</v>
      </c>
      <c r="B3" s="2" t="s">
        <v>289</v>
      </c>
      <c r="C3" s="2" t="s">
        <v>91</v>
      </c>
      <c r="D3" s="2" t="s">
        <v>83</v>
      </c>
      <c r="E3" s="2" t="s">
        <v>110</v>
      </c>
    </row>
    <row r="4" spans="1:5" ht="360" customHeight="1" x14ac:dyDescent="0.25">
      <c r="A4" s="2" t="s">
        <v>111</v>
      </c>
      <c r="B4" s="2" t="s">
        <v>290</v>
      </c>
      <c r="C4" s="2" t="s">
        <v>118</v>
      </c>
      <c r="D4" s="2" t="s">
        <v>83</v>
      </c>
      <c r="E4" s="2" t="s">
        <v>135</v>
      </c>
    </row>
    <row r="5" spans="1:5" ht="360" customHeight="1" x14ac:dyDescent="0.25">
      <c r="A5" s="2" t="s">
        <v>136</v>
      </c>
      <c r="B5" s="2" t="s">
        <v>291</v>
      </c>
      <c r="C5" s="2" t="s">
        <v>142</v>
      </c>
      <c r="D5" s="2" t="s">
        <v>83</v>
      </c>
      <c r="E5" s="2" t="s">
        <v>161</v>
      </c>
    </row>
    <row r="6" spans="1:5" ht="360" customHeight="1" x14ac:dyDescent="0.25">
      <c r="A6" s="2" t="s">
        <v>162</v>
      </c>
      <c r="B6" s="2" t="s">
        <v>292</v>
      </c>
      <c r="C6" s="2" t="s">
        <v>168</v>
      </c>
      <c r="D6" s="2" t="s">
        <v>83</v>
      </c>
      <c r="E6" s="2" t="s">
        <v>187</v>
      </c>
    </row>
    <row r="7" spans="1:5" ht="110.1" customHeight="1" x14ac:dyDescent="0.25">
      <c r="A7" s="2" t="s">
        <v>188</v>
      </c>
      <c r="B7" s="2" t="s">
        <v>293</v>
      </c>
      <c r="C7" s="2"/>
      <c r="D7" s="2" t="s">
        <v>211</v>
      </c>
      <c r="E7" s="2" t="s">
        <v>212</v>
      </c>
    </row>
    <row r="8" spans="1:5" ht="360" customHeight="1" x14ac:dyDescent="0.25">
      <c r="A8" s="2" t="s">
        <v>213</v>
      </c>
      <c r="B8" s="2" t="s">
        <v>294</v>
      </c>
      <c r="C8" s="2" t="s">
        <v>219</v>
      </c>
      <c r="D8" s="2" t="s">
        <v>83</v>
      </c>
      <c r="E8" s="2" t="s">
        <v>234</v>
      </c>
    </row>
    <row r="9" spans="1:5" ht="360" customHeight="1" x14ac:dyDescent="0.25">
      <c r="A9" s="2" t="s">
        <v>235</v>
      </c>
      <c r="B9" s="2" t="s">
        <v>295</v>
      </c>
      <c r="C9" s="2" t="s">
        <v>241</v>
      </c>
      <c r="D9" s="2" t="s">
        <v>83</v>
      </c>
      <c r="E9" s="2" t="s">
        <v>260</v>
      </c>
    </row>
    <row r="10" spans="1:5" ht="360" customHeight="1" x14ac:dyDescent="0.25">
      <c r="A10" s="2" t="s">
        <v>261</v>
      </c>
      <c r="B10" s="2" t="s">
        <v>296</v>
      </c>
      <c r="C10" s="2" t="s">
        <v>267</v>
      </c>
      <c r="D10" s="2" t="s">
        <v>83</v>
      </c>
      <c r="E10" s="2" t="s">
        <v>282</v>
      </c>
    </row>
  </sheetData>
  <autoFilter ref="A1:E1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1"/>
  <sheetViews>
    <sheetView zoomScale="85" workbookViewId="0">
      <pane ySplit="1" topLeftCell="A2" activePane="bottomLeft" state="frozen"/>
      <selection pane="bottomLeft"/>
    </sheetView>
  </sheetViews>
  <sheetFormatPr baseColWidth="10" defaultColWidth="9.140625" defaultRowHeight="15" x14ac:dyDescent="0.25"/>
  <cols>
    <col min="1" max="3" width="28" customWidth="1"/>
    <col min="4" max="5" width="42" customWidth="1"/>
  </cols>
  <sheetData>
    <row r="1" spans="1:5" x14ac:dyDescent="0.25">
      <c r="A1" s="1" t="s">
        <v>297</v>
      </c>
      <c r="B1" s="1" t="s">
        <v>298</v>
      </c>
      <c r="C1" s="1" t="s">
        <v>299</v>
      </c>
      <c r="D1" s="1" t="s">
        <v>300</v>
      </c>
      <c r="E1" s="1" t="s">
        <v>301</v>
      </c>
    </row>
    <row r="2" spans="1:5" ht="60" x14ac:dyDescent="0.25">
      <c r="A2" s="2" t="s">
        <v>0</v>
      </c>
      <c r="B2" s="2" t="s">
        <v>302</v>
      </c>
      <c r="C2" s="2" t="s">
        <v>303</v>
      </c>
      <c r="D2" s="2" t="s">
        <v>304</v>
      </c>
      <c r="E2" s="2"/>
    </row>
    <row r="3" spans="1:5" ht="30" x14ac:dyDescent="0.25">
      <c r="A3" s="2" t="s">
        <v>1</v>
      </c>
      <c r="B3" s="2" t="s">
        <v>305</v>
      </c>
      <c r="C3" s="2" t="s">
        <v>303</v>
      </c>
      <c r="D3" s="2" t="s">
        <v>306</v>
      </c>
      <c r="E3" s="2"/>
    </row>
    <row r="4" spans="1:5" x14ac:dyDescent="0.25">
      <c r="A4" s="2" t="s">
        <v>2</v>
      </c>
      <c r="B4" s="2" t="s">
        <v>307</v>
      </c>
      <c r="C4" s="2" t="s">
        <v>308</v>
      </c>
      <c r="D4" s="2" t="s">
        <v>309</v>
      </c>
      <c r="E4" s="2"/>
    </row>
    <row r="5" spans="1:5" ht="30" x14ac:dyDescent="0.25">
      <c r="A5" s="2" t="s">
        <v>3</v>
      </c>
      <c r="B5" s="2" t="s">
        <v>310</v>
      </c>
      <c r="C5" s="2" t="s">
        <v>311</v>
      </c>
      <c r="D5" s="2" t="s">
        <v>312</v>
      </c>
      <c r="E5" s="2"/>
    </row>
    <row r="6" spans="1:5" ht="30" x14ac:dyDescent="0.25">
      <c r="A6" s="2" t="s">
        <v>4</v>
      </c>
      <c r="B6" s="2" t="s">
        <v>313</v>
      </c>
      <c r="C6" s="2" t="s">
        <v>303</v>
      </c>
      <c r="D6" s="2" t="s">
        <v>314</v>
      </c>
      <c r="E6" s="2"/>
    </row>
    <row r="7" spans="1:5" ht="30" x14ac:dyDescent="0.25">
      <c r="A7" s="2" t="s">
        <v>5</v>
      </c>
      <c r="B7" s="2" t="s">
        <v>315</v>
      </c>
      <c r="C7" s="2" t="s">
        <v>316</v>
      </c>
      <c r="D7" s="2" t="s">
        <v>317</v>
      </c>
      <c r="E7" s="2"/>
    </row>
    <row r="8" spans="1:5" x14ac:dyDescent="0.25">
      <c r="A8" s="2" t="s">
        <v>6</v>
      </c>
      <c r="B8" s="2" t="s">
        <v>318</v>
      </c>
      <c r="C8" s="2" t="s">
        <v>303</v>
      </c>
      <c r="D8" s="2" t="s">
        <v>319</v>
      </c>
      <c r="E8" s="2"/>
    </row>
    <row r="9" spans="1:5" ht="30" x14ac:dyDescent="0.25">
      <c r="A9" s="2" t="s">
        <v>7</v>
      </c>
      <c r="B9" s="2" t="s">
        <v>320</v>
      </c>
      <c r="C9" s="2" t="s">
        <v>303</v>
      </c>
      <c r="D9" s="2" t="s">
        <v>321</v>
      </c>
      <c r="E9" s="2"/>
    </row>
    <row r="10" spans="1:5" ht="30" x14ac:dyDescent="0.25">
      <c r="A10" s="2" t="s">
        <v>8</v>
      </c>
      <c r="B10" s="2" t="s">
        <v>322</v>
      </c>
      <c r="C10" s="2" t="s">
        <v>323</v>
      </c>
      <c r="D10" s="2" t="s">
        <v>324</v>
      </c>
      <c r="E10" s="2"/>
    </row>
    <row r="11" spans="1:5" ht="30" x14ac:dyDescent="0.25">
      <c r="A11" s="2" t="s">
        <v>9</v>
      </c>
      <c r="B11" s="2" t="s">
        <v>325</v>
      </c>
      <c r="C11" s="2" t="s">
        <v>316</v>
      </c>
      <c r="D11" s="2" t="s">
        <v>326</v>
      </c>
      <c r="E11" s="2"/>
    </row>
    <row r="12" spans="1:5" ht="75" x14ac:dyDescent="0.25">
      <c r="A12" s="2" t="s">
        <v>10</v>
      </c>
      <c r="B12" s="2" t="s">
        <v>327</v>
      </c>
      <c r="C12" s="2" t="s">
        <v>328</v>
      </c>
      <c r="D12" s="2" t="s">
        <v>329</v>
      </c>
      <c r="E12" s="2"/>
    </row>
    <row r="13" spans="1:5" ht="30" x14ac:dyDescent="0.25">
      <c r="A13" s="2" t="s">
        <v>12</v>
      </c>
      <c r="B13" s="2" t="s">
        <v>330</v>
      </c>
      <c r="C13" s="2" t="s">
        <v>316</v>
      </c>
      <c r="D13" s="2" t="s">
        <v>331</v>
      </c>
      <c r="E13" s="2"/>
    </row>
    <row r="14" spans="1:5" ht="30" x14ac:dyDescent="0.25">
      <c r="A14" s="2" t="s">
        <v>13</v>
      </c>
      <c r="B14" s="2" t="s">
        <v>332</v>
      </c>
      <c r="C14" s="2" t="s">
        <v>316</v>
      </c>
      <c r="D14" s="2" t="s">
        <v>333</v>
      </c>
      <c r="E14" s="2"/>
    </row>
    <row r="15" spans="1:5" ht="75" x14ac:dyDescent="0.25">
      <c r="A15" s="2" t="s">
        <v>14</v>
      </c>
      <c r="B15" s="2" t="s">
        <v>334</v>
      </c>
      <c r="C15" s="2" t="s">
        <v>316</v>
      </c>
      <c r="D15" s="2" t="s">
        <v>335</v>
      </c>
      <c r="E15" s="2"/>
    </row>
    <row r="16" spans="1:5" ht="60" x14ac:dyDescent="0.25">
      <c r="A16" s="2" t="s">
        <v>15</v>
      </c>
      <c r="B16" s="2" t="s">
        <v>336</v>
      </c>
      <c r="C16" s="2" t="s">
        <v>316</v>
      </c>
      <c r="D16" s="2" t="s">
        <v>337</v>
      </c>
      <c r="E16" s="2"/>
    </row>
    <row r="17" spans="1:5" ht="30" x14ac:dyDescent="0.25">
      <c r="A17" s="2" t="s">
        <v>16</v>
      </c>
      <c r="B17" s="2" t="s">
        <v>338</v>
      </c>
      <c r="C17" s="2" t="s">
        <v>308</v>
      </c>
      <c r="D17" s="2" t="s">
        <v>339</v>
      </c>
      <c r="E17" s="2"/>
    </row>
    <row r="18" spans="1:5" ht="120" x14ac:dyDescent="0.25">
      <c r="A18" s="2" t="s">
        <v>17</v>
      </c>
      <c r="B18" s="2" t="s">
        <v>340</v>
      </c>
      <c r="C18" s="2" t="s">
        <v>341</v>
      </c>
      <c r="D18" s="2" t="s">
        <v>342</v>
      </c>
      <c r="E18" s="2"/>
    </row>
    <row r="19" spans="1:5" ht="90" x14ac:dyDescent="0.25">
      <c r="A19" s="2" t="s">
        <v>18</v>
      </c>
      <c r="B19" s="2" t="s">
        <v>343</v>
      </c>
      <c r="C19" s="2" t="s">
        <v>316</v>
      </c>
      <c r="D19" s="2" t="s">
        <v>344</v>
      </c>
      <c r="E19" s="2"/>
    </row>
    <row r="20" spans="1:5" ht="45" x14ac:dyDescent="0.25">
      <c r="A20" s="2" t="s">
        <v>19</v>
      </c>
      <c r="B20" s="2" t="s">
        <v>345</v>
      </c>
      <c r="C20" s="2" t="s">
        <v>346</v>
      </c>
      <c r="D20" s="2" t="s">
        <v>347</v>
      </c>
      <c r="E20" s="2"/>
    </row>
    <row r="21" spans="1:5" ht="45" x14ac:dyDescent="0.25">
      <c r="A21" s="2" t="s">
        <v>20</v>
      </c>
      <c r="B21" s="2" t="s">
        <v>348</v>
      </c>
      <c r="C21" s="2" t="s">
        <v>316</v>
      </c>
      <c r="D21" s="2" t="s">
        <v>349</v>
      </c>
      <c r="E21" s="2"/>
    </row>
    <row r="22" spans="1:5" ht="75" x14ac:dyDescent="0.25">
      <c r="A22" s="2" t="s">
        <v>21</v>
      </c>
      <c r="B22" s="2" t="s">
        <v>350</v>
      </c>
      <c r="C22" s="2" t="s">
        <v>341</v>
      </c>
      <c r="D22" s="2" t="s">
        <v>351</v>
      </c>
      <c r="E22" s="2"/>
    </row>
    <row r="23" spans="1:5" ht="120" x14ac:dyDescent="0.25">
      <c r="A23" s="2" t="s">
        <v>22</v>
      </c>
      <c r="B23" s="2" t="s">
        <v>352</v>
      </c>
      <c r="C23" s="2" t="s">
        <v>341</v>
      </c>
      <c r="D23" s="2" t="s">
        <v>353</v>
      </c>
      <c r="E23" s="2"/>
    </row>
    <row r="24" spans="1:5" ht="60" x14ac:dyDescent="0.25">
      <c r="A24" s="2" t="s">
        <v>23</v>
      </c>
      <c r="B24" s="2" t="s">
        <v>354</v>
      </c>
      <c r="C24" s="2" t="s">
        <v>316</v>
      </c>
      <c r="D24" s="2" t="s">
        <v>355</v>
      </c>
      <c r="E24" s="2"/>
    </row>
    <row r="25" spans="1:5" ht="60" x14ac:dyDescent="0.25">
      <c r="A25" s="2" t="s">
        <v>24</v>
      </c>
      <c r="B25" s="2" t="s">
        <v>356</v>
      </c>
      <c r="C25" s="2" t="s">
        <v>316</v>
      </c>
      <c r="D25" s="2" t="s">
        <v>357</v>
      </c>
      <c r="E25" s="2"/>
    </row>
    <row r="26" spans="1:5" ht="30" x14ac:dyDescent="0.25">
      <c r="A26" s="2" t="s">
        <v>25</v>
      </c>
      <c r="B26" s="2" t="s">
        <v>358</v>
      </c>
      <c r="C26" s="2" t="s">
        <v>359</v>
      </c>
      <c r="D26" s="2" t="s">
        <v>360</v>
      </c>
      <c r="E26" s="2"/>
    </row>
    <row r="27" spans="1:5" ht="45" x14ac:dyDescent="0.25">
      <c r="A27" s="2" t="s">
        <v>26</v>
      </c>
      <c r="B27" s="2" t="s">
        <v>361</v>
      </c>
      <c r="C27" s="2" t="s">
        <v>359</v>
      </c>
      <c r="D27" s="2" t="s">
        <v>362</v>
      </c>
      <c r="E27" s="2"/>
    </row>
    <row r="28" spans="1:5" ht="30" x14ac:dyDescent="0.25">
      <c r="A28" s="2" t="s">
        <v>27</v>
      </c>
      <c r="B28" s="2" t="s">
        <v>363</v>
      </c>
      <c r="C28" s="2" t="s">
        <v>359</v>
      </c>
      <c r="D28" s="2" t="s">
        <v>364</v>
      </c>
      <c r="E28" s="2"/>
    </row>
    <row r="29" spans="1:5" ht="45" x14ac:dyDescent="0.25">
      <c r="A29" s="2" t="s">
        <v>28</v>
      </c>
      <c r="B29" s="2" t="s">
        <v>365</v>
      </c>
      <c r="C29" s="2" t="s">
        <v>316</v>
      </c>
      <c r="D29" s="2" t="s">
        <v>366</v>
      </c>
      <c r="E29" s="2"/>
    </row>
    <row r="30" spans="1:5" ht="30" x14ac:dyDescent="0.25">
      <c r="A30" s="2" t="s">
        <v>29</v>
      </c>
      <c r="B30" s="2" t="s">
        <v>367</v>
      </c>
      <c r="C30" s="2" t="s">
        <v>359</v>
      </c>
      <c r="D30" s="2" t="s">
        <v>368</v>
      </c>
      <c r="E30" s="2"/>
    </row>
    <row r="31" spans="1:5" ht="30" x14ac:dyDescent="0.25">
      <c r="A31" s="2" t="s">
        <v>30</v>
      </c>
      <c r="B31" s="2" t="s">
        <v>369</v>
      </c>
      <c r="C31" s="2" t="s">
        <v>359</v>
      </c>
      <c r="D31" s="2" t="s">
        <v>370</v>
      </c>
      <c r="E31" s="2"/>
    </row>
  </sheetData>
  <autoFilter ref="A1:E3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
  <sheetViews>
    <sheetView zoomScale="85" workbookViewId="0">
      <pane ySplit="1" topLeftCell="A2" activePane="bottomLeft" state="frozen"/>
      <selection pane="bottomLeft"/>
    </sheetView>
  </sheetViews>
  <sheetFormatPr baseColWidth="10" defaultColWidth="9.140625" defaultRowHeight="15" x14ac:dyDescent="0.25"/>
  <cols>
    <col min="1" max="3" width="28" customWidth="1"/>
    <col min="4" max="11" width="42" customWidth="1"/>
  </cols>
  <sheetData>
    <row r="1" spans="1:11" x14ac:dyDescent="0.25">
      <c r="A1" s="1" t="s">
        <v>13</v>
      </c>
      <c r="B1" s="1" t="s">
        <v>12</v>
      </c>
      <c r="C1" s="1" t="s">
        <v>14</v>
      </c>
      <c r="D1" s="1" t="s">
        <v>15</v>
      </c>
      <c r="E1" s="1" t="s">
        <v>18</v>
      </c>
      <c r="F1" s="1" t="s">
        <v>20</v>
      </c>
      <c r="G1" s="1" t="s">
        <v>23</v>
      </c>
      <c r="H1" s="1" t="s">
        <v>24</v>
      </c>
      <c r="I1" s="1" t="s">
        <v>28</v>
      </c>
      <c r="J1" s="1" t="s">
        <v>9</v>
      </c>
      <c r="K1" s="1" t="s">
        <v>5</v>
      </c>
    </row>
    <row r="2" spans="1:11" x14ac:dyDescent="0.25">
      <c r="A2" s="2" t="s">
        <v>60</v>
      </c>
      <c r="B2" s="2" t="s">
        <v>371</v>
      </c>
      <c r="C2" s="2" t="s">
        <v>372</v>
      </c>
      <c r="D2" s="2" t="s">
        <v>61</v>
      </c>
      <c r="E2" s="2" t="s">
        <v>121</v>
      </c>
      <c r="F2" s="2" t="s">
        <v>373</v>
      </c>
      <c r="G2" s="2" t="s">
        <v>96</v>
      </c>
      <c r="H2" s="2" t="s">
        <v>69</v>
      </c>
      <c r="I2" s="2" t="s">
        <v>73</v>
      </c>
      <c r="J2" s="2" t="s">
        <v>57</v>
      </c>
      <c r="K2" s="2" t="s">
        <v>54</v>
      </c>
    </row>
    <row r="3" spans="1:11" x14ac:dyDescent="0.25">
      <c r="A3" s="2" t="s">
        <v>374</v>
      </c>
      <c r="B3" s="2" t="s">
        <v>375</v>
      </c>
      <c r="C3" s="2" t="s">
        <v>376</v>
      </c>
      <c r="D3" s="2" t="s">
        <v>242</v>
      </c>
      <c r="E3" s="2" t="s">
        <v>145</v>
      </c>
      <c r="F3" s="2" t="s">
        <v>65</v>
      </c>
      <c r="G3" s="2" t="s">
        <v>173</v>
      </c>
      <c r="H3" s="2" t="s">
        <v>148</v>
      </c>
      <c r="I3" s="2" t="s">
        <v>101</v>
      </c>
      <c r="J3" s="2" t="s">
        <v>377</v>
      </c>
      <c r="K3" s="2" t="s">
        <v>378</v>
      </c>
    </row>
    <row r="4" spans="1:11" ht="30" x14ac:dyDescent="0.25">
      <c r="A4" s="2" t="s">
        <v>379</v>
      </c>
      <c r="B4" s="2" t="s">
        <v>380</v>
      </c>
      <c r="C4" s="2" t="s">
        <v>381</v>
      </c>
      <c r="D4" s="2" t="s">
        <v>382</v>
      </c>
      <c r="E4" s="2" t="s">
        <v>64</v>
      </c>
      <c r="F4" s="2" t="s">
        <v>146</v>
      </c>
      <c r="G4" s="2" t="s">
        <v>68</v>
      </c>
      <c r="H4" s="2" t="s">
        <v>97</v>
      </c>
      <c r="I4" s="2" t="s">
        <v>383</v>
      </c>
      <c r="J4" s="2" t="s">
        <v>384</v>
      </c>
      <c r="K4" s="2" t="s">
        <v>385</v>
      </c>
    </row>
    <row r="5" spans="1:11" x14ac:dyDescent="0.25">
      <c r="A5" s="2"/>
      <c r="B5" s="2" t="s">
        <v>59</v>
      </c>
      <c r="C5" s="2" t="s">
        <v>386</v>
      </c>
      <c r="D5" s="2" t="s">
        <v>387</v>
      </c>
      <c r="E5" s="2" t="s">
        <v>171</v>
      </c>
      <c r="F5" s="2" t="s">
        <v>388</v>
      </c>
      <c r="G5" s="2" t="s">
        <v>389</v>
      </c>
      <c r="H5" s="2" t="s">
        <v>390</v>
      </c>
      <c r="I5" s="2" t="s">
        <v>391</v>
      </c>
      <c r="J5" s="2" t="s">
        <v>392</v>
      </c>
      <c r="K5" s="2" t="s">
        <v>115</v>
      </c>
    </row>
    <row r="6" spans="1:11" x14ac:dyDescent="0.25">
      <c r="A6" s="2"/>
      <c r="B6" s="2" t="s">
        <v>393</v>
      </c>
      <c r="C6" s="2" t="s">
        <v>394</v>
      </c>
      <c r="D6" s="2"/>
      <c r="E6" s="2" t="s">
        <v>94</v>
      </c>
      <c r="F6" s="2" t="s">
        <v>387</v>
      </c>
      <c r="G6" s="2" t="s">
        <v>198</v>
      </c>
      <c r="H6" s="2" t="s">
        <v>181</v>
      </c>
      <c r="I6" s="2" t="s">
        <v>251</v>
      </c>
      <c r="J6" s="2"/>
      <c r="K6" s="2" t="s">
        <v>395</v>
      </c>
    </row>
    <row r="7" spans="1:11" x14ac:dyDescent="0.25">
      <c r="A7" s="2"/>
      <c r="B7" s="2"/>
      <c r="C7" s="2" t="s">
        <v>396</v>
      </c>
      <c r="D7" s="2"/>
      <c r="E7" s="2" t="s">
        <v>397</v>
      </c>
      <c r="F7" s="2"/>
      <c r="G7" s="2" t="s">
        <v>247</v>
      </c>
      <c r="H7" s="2" t="s">
        <v>123</v>
      </c>
      <c r="I7" s="2" t="s">
        <v>152</v>
      </c>
      <c r="J7" s="2"/>
      <c r="K7" s="2" t="s">
        <v>398</v>
      </c>
    </row>
    <row r="8" spans="1:11" x14ac:dyDescent="0.25">
      <c r="A8" s="2"/>
      <c r="B8" s="2"/>
      <c r="C8" s="2" t="s">
        <v>399</v>
      </c>
      <c r="D8" s="2"/>
      <c r="E8" s="2" t="s">
        <v>400</v>
      </c>
      <c r="F8" s="2"/>
      <c r="G8" s="2"/>
      <c r="H8" s="2" t="s">
        <v>398</v>
      </c>
      <c r="I8" s="2"/>
      <c r="J8" s="2"/>
      <c r="K8" s="2"/>
    </row>
    <row r="9" spans="1:11" x14ac:dyDescent="0.25">
      <c r="A9" s="2"/>
      <c r="B9" s="2"/>
      <c r="C9" s="2" t="s">
        <v>401</v>
      </c>
      <c r="D9" s="2"/>
      <c r="E9" s="2" t="s">
        <v>402</v>
      </c>
      <c r="F9" s="2"/>
      <c r="G9" s="2"/>
      <c r="H9" s="2"/>
      <c r="I9" s="2"/>
      <c r="J9" s="2"/>
      <c r="K9" s="2"/>
    </row>
    <row r="10" spans="1:11" x14ac:dyDescent="0.25">
      <c r="A10" s="2"/>
      <c r="B10" s="2"/>
      <c r="C10" s="2" t="s">
        <v>398</v>
      </c>
      <c r="D10" s="2"/>
      <c r="E10" s="2" t="s">
        <v>398</v>
      </c>
      <c r="F10" s="2"/>
      <c r="G10" s="2"/>
      <c r="H10" s="2"/>
      <c r="I10" s="2"/>
      <c r="J10" s="2"/>
      <c r="K10" s="2"/>
    </row>
  </sheetData>
  <autoFilter ref="A1:K10"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
  <sheetViews>
    <sheetView zoomScale="85" workbookViewId="0">
      <pane ySplit="1" topLeftCell="A2" activePane="bottomLeft" state="frozen"/>
      <selection pane="bottomLeft"/>
    </sheetView>
  </sheetViews>
  <sheetFormatPr baseColWidth="10" defaultColWidth="9.140625" defaultRowHeight="15" x14ac:dyDescent="0.25"/>
  <cols>
    <col min="1" max="3" width="28" customWidth="1"/>
    <col min="4" max="7" width="42" customWidth="1"/>
  </cols>
  <sheetData>
    <row r="1" spans="1:7" x14ac:dyDescent="0.25">
      <c r="A1" s="1" t="s">
        <v>403</v>
      </c>
      <c r="B1" s="1" t="s">
        <v>404</v>
      </c>
      <c r="C1" s="1" t="s">
        <v>405</v>
      </c>
      <c r="D1" s="1" t="s">
        <v>406</v>
      </c>
      <c r="E1" s="1" t="s">
        <v>407</v>
      </c>
      <c r="F1" s="1" t="s">
        <v>408</v>
      </c>
      <c r="G1" s="1" t="s">
        <v>409</v>
      </c>
    </row>
    <row r="2" spans="1:7" x14ac:dyDescent="0.25">
      <c r="A2" s="2" t="s">
        <v>69</v>
      </c>
      <c r="B2" s="2">
        <v>11</v>
      </c>
      <c r="C2" s="2">
        <v>32</v>
      </c>
      <c r="D2" s="3">
        <f>B2/C2</f>
        <v>0.34375</v>
      </c>
      <c r="E2" s="2">
        <f>COUNTIF(External_chart!Y2:Y10,"*conceptual_translation*")</f>
        <v>4</v>
      </c>
      <c r="F2" s="2">
        <v>9</v>
      </c>
      <c r="G2" s="3">
        <f>E2/F2</f>
        <v>0.44444444444444442</v>
      </c>
    </row>
    <row r="3" spans="1:7" x14ac:dyDescent="0.25">
      <c r="A3" s="2" t="s">
        <v>181</v>
      </c>
      <c r="B3" s="2">
        <v>8</v>
      </c>
      <c r="C3" s="2">
        <v>32</v>
      </c>
      <c r="D3" s="3">
        <f>B3/C3</f>
        <v>0.25</v>
      </c>
      <c r="E3" s="2">
        <f>COUNTIF(External_chart!Y2:Y10,"*critique/limits*")</f>
        <v>2</v>
      </c>
      <c r="F3" s="2">
        <v>9</v>
      </c>
      <c r="G3" s="3">
        <f>E3/F3</f>
        <v>0.22222222222222221</v>
      </c>
    </row>
    <row r="4" spans="1:7" x14ac:dyDescent="0.25">
      <c r="A4" s="2" t="s">
        <v>123</v>
      </c>
      <c r="B4" s="2">
        <v>7</v>
      </c>
      <c r="C4" s="2">
        <v>32</v>
      </c>
      <c r="D4" s="3">
        <f>B4/C4</f>
        <v>0.21875</v>
      </c>
      <c r="E4" s="2">
        <f>COUNTIF(External_chart!Y2:Y10,"*agenda_setting*")</f>
        <v>1</v>
      </c>
      <c r="F4" s="2">
        <v>9</v>
      </c>
      <c r="G4" s="3">
        <f>E4/F4</f>
        <v>0.1111111111111111</v>
      </c>
    </row>
    <row r="5" spans="1:7" x14ac:dyDescent="0.25">
      <c r="A5" s="2" t="s">
        <v>148</v>
      </c>
      <c r="B5" s="2">
        <v>6</v>
      </c>
      <c r="C5" s="2">
        <v>32</v>
      </c>
      <c r="D5" s="3">
        <f>B5/C5</f>
        <v>0.1875</v>
      </c>
      <c r="E5" s="2">
        <f>COUNTIF(External_chart!Y2:Y10,"*methodological_import*")</f>
        <v>1</v>
      </c>
      <c r="F5" s="2">
        <v>9</v>
      </c>
      <c r="G5" s="3">
        <f>E5/F5</f>
        <v>0.1111111111111111</v>
      </c>
    </row>
    <row r="6" spans="1:7" x14ac:dyDescent="0.25">
      <c r="A6" s="2" t="s">
        <v>97</v>
      </c>
      <c r="B6" s="2">
        <v>1</v>
      </c>
      <c r="C6" s="2">
        <v>32</v>
      </c>
      <c r="D6" s="3">
        <f>B6/C6</f>
        <v>3.125E-2</v>
      </c>
      <c r="E6" s="2">
        <f>COUNTIF(External_chart!Y2:Y10,"*design_guidance*")</f>
        <v>2</v>
      </c>
      <c r="F6" s="2">
        <v>9</v>
      </c>
      <c r="G6" s="3">
        <f>E6/F6</f>
        <v>0.22222222222222221</v>
      </c>
    </row>
    <row r="7" spans="1:7" x14ac:dyDescent="0.25">
      <c r="A7" s="2" t="s">
        <v>390</v>
      </c>
      <c r="B7" s="2">
        <v>0</v>
      </c>
      <c r="C7" s="2">
        <v>32</v>
      </c>
      <c r="D7" s="2">
        <v>0</v>
      </c>
      <c r="E7" s="2">
        <v>0</v>
      </c>
      <c r="F7" s="2">
        <v>9</v>
      </c>
      <c r="G7" s="2">
        <v>0</v>
      </c>
    </row>
    <row r="8" spans="1:7" x14ac:dyDescent="0.25">
      <c r="A8" s="2" t="s">
        <v>398</v>
      </c>
      <c r="B8" s="2">
        <v>0</v>
      </c>
      <c r="C8" s="2">
        <v>32</v>
      </c>
      <c r="D8" s="2">
        <v>0</v>
      </c>
      <c r="E8" s="2">
        <v>0</v>
      </c>
      <c r="F8" s="2">
        <v>9</v>
      </c>
      <c r="G8" s="2">
        <v>0</v>
      </c>
    </row>
    <row r="9" spans="1:7" ht="45" x14ac:dyDescent="0.25">
      <c r="A9" s="2" t="s">
        <v>410</v>
      </c>
      <c r="B9" s="2">
        <v>7</v>
      </c>
      <c r="C9" s="2">
        <v>32</v>
      </c>
      <c r="D9" s="2">
        <v>0.21875</v>
      </c>
      <c r="E9" s="2">
        <v>3</v>
      </c>
      <c r="F9" s="2">
        <v>9</v>
      </c>
      <c r="G9" s="2">
        <v>0.33333333333333331</v>
      </c>
    </row>
    <row r="10" spans="1:7" ht="45" x14ac:dyDescent="0.25">
      <c r="A10" s="2" t="s">
        <v>411</v>
      </c>
      <c r="B10" s="2" t="s">
        <v>412</v>
      </c>
      <c r="C10" s="2"/>
      <c r="D10" s="2"/>
      <c r="E10" s="2"/>
      <c r="F10" s="2"/>
      <c r="G10" s="2"/>
    </row>
  </sheetData>
  <autoFilter ref="A1:G10"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3"/>
  <sheetViews>
    <sheetView zoomScale="85" workbookViewId="0">
      <pane ySplit="1" topLeftCell="A2" activePane="bottomLeft" state="frozen"/>
      <selection pane="bottomLeft"/>
    </sheetView>
  </sheetViews>
  <sheetFormatPr baseColWidth="10" defaultColWidth="9.140625" defaultRowHeight="15" x14ac:dyDescent="0.25"/>
  <cols>
    <col min="1" max="3" width="28" customWidth="1"/>
    <col min="4" max="5" width="42" customWidth="1"/>
  </cols>
  <sheetData>
    <row r="1" spans="1:5" x14ac:dyDescent="0.25">
      <c r="A1" s="1" t="s">
        <v>413</v>
      </c>
      <c r="B1" s="1" t="s">
        <v>0</v>
      </c>
      <c r="C1" s="1" t="s">
        <v>1</v>
      </c>
      <c r="D1" s="1" t="s">
        <v>24</v>
      </c>
      <c r="E1" s="1" t="s">
        <v>20</v>
      </c>
    </row>
    <row r="2" spans="1:5" ht="45" x14ac:dyDescent="0.25">
      <c r="A2" s="2">
        <v>2</v>
      </c>
      <c r="B2" s="2" t="s">
        <v>414</v>
      </c>
      <c r="C2" s="2" t="s">
        <v>415</v>
      </c>
      <c r="D2" s="2" t="s">
        <v>123</v>
      </c>
      <c r="E2" s="2" t="s">
        <v>65</v>
      </c>
    </row>
    <row r="3" spans="1:5" ht="75" x14ac:dyDescent="0.25">
      <c r="A3" s="2">
        <v>3</v>
      </c>
      <c r="B3" s="2" t="s">
        <v>416</v>
      </c>
      <c r="C3" s="2" t="s">
        <v>417</v>
      </c>
      <c r="D3" s="2" t="s">
        <v>69</v>
      </c>
      <c r="E3" s="2" t="s">
        <v>65</v>
      </c>
    </row>
    <row r="4" spans="1:5" ht="30" x14ac:dyDescent="0.25">
      <c r="A4" s="2">
        <v>4</v>
      </c>
      <c r="B4" s="2" t="s">
        <v>418</v>
      </c>
      <c r="C4" s="2" t="s">
        <v>419</v>
      </c>
      <c r="D4" s="2" t="s">
        <v>148</v>
      </c>
      <c r="E4" s="2" t="s">
        <v>420</v>
      </c>
    </row>
    <row r="5" spans="1:5" ht="45" x14ac:dyDescent="0.25">
      <c r="A5" s="2">
        <v>5</v>
      </c>
      <c r="B5" s="2" t="s">
        <v>421</v>
      </c>
      <c r="C5" s="2" t="s">
        <v>422</v>
      </c>
      <c r="D5" s="2" t="s">
        <v>123</v>
      </c>
      <c r="E5" s="2" t="s">
        <v>65</v>
      </c>
    </row>
    <row r="6" spans="1:5" ht="75" x14ac:dyDescent="0.25">
      <c r="A6" s="2">
        <v>6</v>
      </c>
      <c r="B6" s="2" t="s">
        <v>423</v>
      </c>
      <c r="C6" s="2" t="s">
        <v>424</v>
      </c>
      <c r="D6" s="2" t="s">
        <v>425</v>
      </c>
      <c r="E6" s="2" t="s">
        <v>146</v>
      </c>
    </row>
    <row r="7" spans="1:5" ht="30" x14ac:dyDescent="0.25">
      <c r="A7" s="2">
        <v>7</v>
      </c>
      <c r="B7" s="2" t="s">
        <v>426</v>
      </c>
      <c r="C7" s="2" t="s">
        <v>427</v>
      </c>
      <c r="D7" s="2" t="s">
        <v>123</v>
      </c>
      <c r="E7" s="2" t="s">
        <v>65</v>
      </c>
    </row>
    <row r="8" spans="1:5" ht="45" x14ac:dyDescent="0.25">
      <c r="A8" s="2">
        <v>8</v>
      </c>
      <c r="B8" s="2" t="s">
        <v>428</v>
      </c>
      <c r="C8" s="2" t="s">
        <v>429</v>
      </c>
      <c r="D8" s="2" t="s">
        <v>181</v>
      </c>
      <c r="E8" s="2" t="s">
        <v>65</v>
      </c>
    </row>
    <row r="9" spans="1:5" ht="75" x14ac:dyDescent="0.25">
      <c r="A9" s="2">
        <v>9</v>
      </c>
      <c r="B9" s="2" t="s">
        <v>430</v>
      </c>
      <c r="C9" s="2" t="s">
        <v>431</v>
      </c>
      <c r="D9" s="2" t="s">
        <v>69</v>
      </c>
      <c r="E9" s="2" t="s">
        <v>65</v>
      </c>
    </row>
    <row r="10" spans="1:5" ht="60" x14ac:dyDescent="0.25">
      <c r="A10" s="2">
        <v>10</v>
      </c>
      <c r="B10" s="2" t="s">
        <v>432</v>
      </c>
      <c r="C10" s="2" t="s">
        <v>433</v>
      </c>
      <c r="D10" s="2" t="s">
        <v>148</v>
      </c>
      <c r="E10" s="2" t="s">
        <v>388</v>
      </c>
    </row>
    <row r="11" spans="1:5" ht="30" x14ac:dyDescent="0.25">
      <c r="A11" s="2">
        <v>11</v>
      </c>
      <c r="B11" s="2" t="s">
        <v>434</v>
      </c>
      <c r="C11" s="2" t="s">
        <v>435</v>
      </c>
      <c r="D11" s="2" t="s">
        <v>69</v>
      </c>
      <c r="E11" s="2" t="s">
        <v>65</v>
      </c>
    </row>
    <row r="12" spans="1:5" ht="75" x14ac:dyDescent="0.25">
      <c r="A12" s="2">
        <v>12</v>
      </c>
      <c r="B12" s="2" t="s">
        <v>434</v>
      </c>
      <c r="C12" s="2" t="s">
        <v>436</v>
      </c>
      <c r="D12" s="2" t="s">
        <v>69</v>
      </c>
      <c r="E12" s="2" t="s">
        <v>146</v>
      </c>
    </row>
    <row r="13" spans="1:5" ht="30" x14ac:dyDescent="0.25">
      <c r="A13" s="2">
        <v>13</v>
      </c>
      <c r="B13" s="2" t="s">
        <v>437</v>
      </c>
      <c r="C13" s="2" t="s">
        <v>438</v>
      </c>
      <c r="D13" s="2" t="s">
        <v>69</v>
      </c>
      <c r="E13" s="2" t="s">
        <v>439</v>
      </c>
    </row>
    <row r="14" spans="1:5" ht="30" x14ac:dyDescent="0.25">
      <c r="A14" s="2">
        <v>14</v>
      </c>
      <c r="B14" s="2" t="s">
        <v>440</v>
      </c>
      <c r="C14" s="2" t="s">
        <v>441</v>
      </c>
      <c r="D14" s="2" t="s">
        <v>181</v>
      </c>
      <c r="E14" s="2" t="s">
        <v>65</v>
      </c>
    </row>
    <row r="15" spans="1:5" ht="60" x14ac:dyDescent="0.25">
      <c r="A15" s="2">
        <v>15</v>
      </c>
      <c r="B15" s="2" t="s">
        <v>442</v>
      </c>
      <c r="C15" s="2" t="s">
        <v>443</v>
      </c>
      <c r="D15" s="2" t="s">
        <v>123</v>
      </c>
      <c r="E15" s="2" t="s">
        <v>65</v>
      </c>
    </row>
    <row r="16" spans="1:5" ht="90" x14ac:dyDescent="0.25">
      <c r="A16" s="2">
        <v>16</v>
      </c>
      <c r="B16" s="2" t="s">
        <v>442</v>
      </c>
      <c r="C16" s="2" t="s">
        <v>444</v>
      </c>
      <c r="D16" s="2" t="s">
        <v>69</v>
      </c>
      <c r="E16" s="2" t="s">
        <v>65</v>
      </c>
    </row>
    <row r="17" spans="1:5" ht="45" x14ac:dyDescent="0.25">
      <c r="A17" s="2">
        <v>17</v>
      </c>
      <c r="B17" s="2" t="s">
        <v>445</v>
      </c>
      <c r="C17" s="2" t="s">
        <v>446</v>
      </c>
      <c r="D17" s="2" t="s">
        <v>148</v>
      </c>
      <c r="E17" s="2" t="s">
        <v>447</v>
      </c>
    </row>
    <row r="18" spans="1:5" ht="45" x14ac:dyDescent="0.25">
      <c r="A18" s="2">
        <v>18</v>
      </c>
      <c r="B18" s="2" t="s">
        <v>448</v>
      </c>
      <c r="C18" s="2" t="s">
        <v>449</v>
      </c>
      <c r="D18" s="2" t="s">
        <v>181</v>
      </c>
      <c r="E18" s="2" t="s">
        <v>65</v>
      </c>
    </row>
    <row r="19" spans="1:5" ht="60" x14ac:dyDescent="0.25">
      <c r="A19" s="2">
        <v>19</v>
      </c>
      <c r="B19" s="2" t="s">
        <v>450</v>
      </c>
      <c r="C19" s="2" t="s">
        <v>451</v>
      </c>
      <c r="D19" s="2" t="s">
        <v>123</v>
      </c>
      <c r="E19" s="2" t="s">
        <v>65</v>
      </c>
    </row>
    <row r="20" spans="1:5" ht="30" x14ac:dyDescent="0.25">
      <c r="A20" s="2">
        <v>20</v>
      </c>
      <c r="B20" s="2" t="s">
        <v>452</v>
      </c>
      <c r="C20" s="2" t="s">
        <v>453</v>
      </c>
      <c r="D20" s="2" t="s">
        <v>181</v>
      </c>
      <c r="E20" s="2" t="s">
        <v>65</v>
      </c>
    </row>
    <row r="21" spans="1:5" ht="60" x14ac:dyDescent="0.25">
      <c r="A21" s="2">
        <v>21</v>
      </c>
      <c r="B21" s="2" t="s">
        <v>454</v>
      </c>
      <c r="C21" s="2" t="s">
        <v>455</v>
      </c>
      <c r="D21" s="2" t="s">
        <v>148</v>
      </c>
      <c r="E21" s="2" t="s">
        <v>65</v>
      </c>
    </row>
    <row r="22" spans="1:5" ht="60" x14ac:dyDescent="0.25">
      <c r="A22" s="2">
        <v>22</v>
      </c>
      <c r="B22" s="2" t="s">
        <v>456</v>
      </c>
      <c r="C22" s="2" t="s">
        <v>457</v>
      </c>
      <c r="D22" s="2" t="s">
        <v>97</v>
      </c>
      <c r="E22" s="2" t="s">
        <v>65</v>
      </c>
    </row>
    <row r="23" spans="1:5" ht="90" x14ac:dyDescent="0.25">
      <c r="A23" s="2">
        <v>23</v>
      </c>
      <c r="B23" s="2" t="s">
        <v>456</v>
      </c>
      <c r="C23" s="2" t="s">
        <v>458</v>
      </c>
      <c r="D23" s="2" t="s">
        <v>69</v>
      </c>
      <c r="E23" s="2" t="s">
        <v>373</v>
      </c>
    </row>
    <row r="24" spans="1:5" x14ac:dyDescent="0.25">
      <c r="A24" s="2">
        <v>24</v>
      </c>
      <c r="B24" s="2" t="s">
        <v>459</v>
      </c>
      <c r="C24" s="2" t="s">
        <v>460</v>
      </c>
      <c r="D24" s="2" t="s">
        <v>69</v>
      </c>
      <c r="E24" s="2" t="s">
        <v>65</v>
      </c>
    </row>
    <row r="25" spans="1:5" ht="75" x14ac:dyDescent="0.25">
      <c r="A25" s="2">
        <v>25</v>
      </c>
      <c r="B25" s="2" t="s">
        <v>461</v>
      </c>
      <c r="C25" s="2" t="s">
        <v>462</v>
      </c>
      <c r="D25" s="2" t="s">
        <v>181</v>
      </c>
      <c r="E25" s="2" t="s">
        <v>65</v>
      </c>
    </row>
    <row r="26" spans="1:5" ht="90" x14ac:dyDescent="0.25">
      <c r="A26" s="2">
        <v>26</v>
      </c>
      <c r="B26" s="2" t="s">
        <v>463</v>
      </c>
      <c r="C26" s="2" t="s">
        <v>464</v>
      </c>
      <c r="D26" s="2" t="s">
        <v>148</v>
      </c>
      <c r="E26" s="2" t="s">
        <v>146</v>
      </c>
    </row>
    <row r="27" spans="1:5" ht="30" x14ac:dyDescent="0.25">
      <c r="A27" s="2">
        <v>27</v>
      </c>
      <c r="B27" s="2" t="s">
        <v>465</v>
      </c>
      <c r="C27" s="2" t="s">
        <v>466</v>
      </c>
      <c r="D27" s="2" t="s">
        <v>181</v>
      </c>
      <c r="E27" s="2" t="s">
        <v>65</v>
      </c>
    </row>
    <row r="28" spans="1:5" ht="60" x14ac:dyDescent="0.25">
      <c r="A28" s="2">
        <v>28</v>
      </c>
      <c r="B28" s="2" t="s">
        <v>467</v>
      </c>
      <c r="C28" s="2" t="s">
        <v>468</v>
      </c>
      <c r="D28" s="2" t="s">
        <v>123</v>
      </c>
      <c r="E28" s="2" t="s">
        <v>65</v>
      </c>
    </row>
    <row r="29" spans="1:5" ht="75" x14ac:dyDescent="0.25">
      <c r="A29" s="2">
        <v>29</v>
      </c>
      <c r="B29" s="2" t="s">
        <v>469</v>
      </c>
      <c r="C29" s="2" t="s">
        <v>470</v>
      </c>
      <c r="D29" s="2" t="s">
        <v>69</v>
      </c>
      <c r="E29" s="2" t="s">
        <v>65</v>
      </c>
    </row>
    <row r="30" spans="1:5" ht="45" x14ac:dyDescent="0.25">
      <c r="A30" s="2">
        <v>30</v>
      </c>
      <c r="B30" s="2" t="s">
        <v>469</v>
      </c>
      <c r="C30" s="2" t="s">
        <v>471</v>
      </c>
      <c r="D30" s="2" t="s">
        <v>148</v>
      </c>
      <c r="E30" s="2" t="s">
        <v>65</v>
      </c>
    </row>
    <row r="31" spans="1:5" ht="30" x14ac:dyDescent="0.25">
      <c r="A31" s="2">
        <v>31</v>
      </c>
      <c r="B31" s="2" t="s">
        <v>472</v>
      </c>
      <c r="C31" s="2" t="s">
        <v>473</v>
      </c>
      <c r="D31" s="2" t="s">
        <v>181</v>
      </c>
      <c r="E31" s="2" t="s">
        <v>474</v>
      </c>
    </row>
    <row r="32" spans="1:5" ht="105" x14ac:dyDescent="0.25">
      <c r="A32" s="2">
        <v>32</v>
      </c>
      <c r="B32" s="2" t="s">
        <v>475</v>
      </c>
      <c r="C32" s="2" t="s">
        <v>476</v>
      </c>
      <c r="D32" s="2" t="s">
        <v>123</v>
      </c>
      <c r="E32" s="2" t="s">
        <v>373</v>
      </c>
    </row>
    <row r="33" spans="1:5" ht="30" x14ac:dyDescent="0.25">
      <c r="A33" s="2">
        <v>33</v>
      </c>
      <c r="B33" s="2" t="s">
        <v>475</v>
      </c>
      <c r="C33" s="2" t="s">
        <v>477</v>
      </c>
      <c r="D33" s="2" t="s">
        <v>69</v>
      </c>
      <c r="E33" s="2" t="s">
        <v>65</v>
      </c>
    </row>
  </sheetData>
  <autoFilter ref="A1:E33"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6"/>
  <sheetViews>
    <sheetView zoomScale="85" workbookViewId="0">
      <pane ySplit="1" topLeftCell="A2" activePane="bottomLeft" state="frozen"/>
      <selection pane="bottomLeft"/>
    </sheetView>
  </sheetViews>
  <sheetFormatPr baseColWidth="10" defaultColWidth="9.140625" defaultRowHeight="15" x14ac:dyDescent="0.25"/>
  <cols>
    <col min="1" max="3" width="28" customWidth="1"/>
    <col min="4" max="5" width="42" customWidth="1"/>
  </cols>
  <sheetData>
    <row r="1" spans="1:5" x14ac:dyDescent="0.25">
      <c r="A1" s="1" t="s">
        <v>478</v>
      </c>
      <c r="B1" s="1" t="s">
        <v>298</v>
      </c>
      <c r="C1" s="1" t="s">
        <v>479</v>
      </c>
      <c r="D1" s="1" t="s">
        <v>480</v>
      </c>
      <c r="E1" s="1" t="s">
        <v>481</v>
      </c>
    </row>
    <row r="2" spans="1:5" x14ac:dyDescent="0.25">
      <c r="A2" s="2" t="s">
        <v>482</v>
      </c>
      <c r="B2" s="2" t="s">
        <v>483</v>
      </c>
      <c r="C2" s="2">
        <v>3</v>
      </c>
      <c r="D2" s="2">
        <v>9</v>
      </c>
      <c r="E2" s="2">
        <v>0.33333333333333331</v>
      </c>
    </row>
    <row r="3" spans="1:5" x14ac:dyDescent="0.25">
      <c r="A3" s="2" t="s">
        <v>484</v>
      </c>
      <c r="B3" s="2" t="s">
        <v>485</v>
      </c>
      <c r="C3" s="2">
        <v>2</v>
      </c>
      <c r="D3" s="2">
        <v>9</v>
      </c>
      <c r="E3" s="2">
        <v>0.22222222222222221</v>
      </c>
    </row>
    <row r="4" spans="1:5" ht="30" x14ac:dyDescent="0.25">
      <c r="A4" s="2" t="s">
        <v>486</v>
      </c>
      <c r="B4" s="2" t="s">
        <v>487</v>
      </c>
      <c r="C4" s="2">
        <v>2</v>
      </c>
      <c r="D4" s="2">
        <v>9</v>
      </c>
      <c r="E4" s="2">
        <v>0.22222222222222221</v>
      </c>
    </row>
    <row r="5" spans="1:5" ht="30" x14ac:dyDescent="0.25">
      <c r="A5" s="2" t="s">
        <v>488</v>
      </c>
      <c r="B5" s="2" t="s">
        <v>489</v>
      </c>
      <c r="C5" s="2">
        <v>4</v>
      </c>
      <c r="D5" s="2">
        <v>9</v>
      </c>
      <c r="E5" s="2">
        <v>0.44444444444444442</v>
      </c>
    </row>
    <row r="6" spans="1:5" ht="30" x14ac:dyDescent="0.25">
      <c r="A6" s="2" t="s">
        <v>490</v>
      </c>
      <c r="B6" s="2" t="s">
        <v>491</v>
      </c>
      <c r="C6" s="2">
        <v>4</v>
      </c>
      <c r="D6" s="2">
        <v>9</v>
      </c>
      <c r="E6" s="2">
        <v>0.44444444444444442</v>
      </c>
    </row>
  </sheetData>
  <autoFilter ref="A1:E5"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8"/>
  <sheetViews>
    <sheetView zoomScale="85" workbookViewId="0">
      <pane ySplit="1" topLeftCell="A2" activePane="bottomLeft" state="frozen"/>
      <selection pane="bottomLeft"/>
    </sheetView>
  </sheetViews>
  <sheetFormatPr baseColWidth="10" defaultColWidth="9.140625" defaultRowHeight="15" x14ac:dyDescent="0.25"/>
  <cols>
    <col min="1" max="2" width="28" customWidth="1"/>
  </cols>
  <sheetData>
    <row r="1" spans="1:2" x14ac:dyDescent="0.25">
      <c r="A1" s="1" t="s">
        <v>492</v>
      </c>
      <c r="B1" s="1" t="s">
        <v>493</v>
      </c>
    </row>
    <row r="2" spans="1:2" ht="60" x14ac:dyDescent="0.25">
      <c r="A2" s="2" t="s">
        <v>494</v>
      </c>
      <c r="B2" s="2" t="s">
        <v>495</v>
      </c>
    </row>
    <row r="3" spans="1:2" ht="75" x14ac:dyDescent="0.25">
      <c r="A3" s="2" t="s">
        <v>496</v>
      </c>
      <c r="B3" s="2" t="s">
        <v>497</v>
      </c>
    </row>
    <row r="4" spans="1:2" ht="75" x14ac:dyDescent="0.25">
      <c r="A4" s="2" t="s">
        <v>498</v>
      </c>
      <c r="B4" s="2" t="s">
        <v>499</v>
      </c>
    </row>
    <row r="5" spans="1:2" ht="60" x14ac:dyDescent="0.25">
      <c r="A5" s="2" t="s">
        <v>500</v>
      </c>
      <c r="B5" s="2" t="s">
        <v>501</v>
      </c>
    </row>
    <row r="6" spans="1:2" ht="60" x14ac:dyDescent="0.25">
      <c r="A6" s="2" t="s">
        <v>502</v>
      </c>
      <c r="B6" s="2" t="s">
        <v>503</v>
      </c>
    </row>
    <row r="7" spans="1:2" ht="60" x14ac:dyDescent="0.25">
      <c r="A7" s="2" t="s">
        <v>504</v>
      </c>
      <c r="B7" s="2" t="s">
        <v>505</v>
      </c>
    </row>
    <row r="8" spans="1:2" ht="195" x14ac:dyDescent="0.25">
      <c r="A8" s="2" t="s">
        <v>506</v>
      </c>
      <c r="B8" s="2" t="s">
        <v>507</v>
      </c>
    </row>
    <row r="9" spans="1:2" ht="150" x14ac:dyDescent="0.25">
      <c r="A9" s="2" t="s">
        <v>508</v>
      </c>
      <c r="B9" s="2" t="s">
        <v>509</v>
      </c>
    </row>
    <row r="10" spans="1:2" ht="75" x14ac:dyDescent="0.25">
      <c r="A10" s="2" t="s">
        <v>510</v>
      </c>
      <c r="B10" s="2" t="s">
        <v>511</v>
      </c>
    </row>
    <row r="11" spans="1:2" ht="60" x14ac:dyDescent="0.25">
      <c r="A11" s="2" t="s">
        <v>512</v>
      </c>
      <c r="B11" s="2" t="s">
        <v>513</v>
      </c>
    </row>
    <row r="12" spans="1:2" ht="135" x14ac:dyDescent="0.25">
      <c r="A12" s="2" t="s">
        <v>514</v>
      </c>
      <c r="B12" s="2" t="s">
        <v>515</v>
      </c>
    </row>
    <row r="13" spans="1:2" ht="45" x14ac:dyDescent="0.25">
      <c r="A13" s="2" t="s">
        <v>516</v>
      </c>
      <c r="B13" s="2" t="s">
        <v>517</v>
      </c>
    </row>
    <row r="14" spans="1:2" ht="60" x14ac:dyDescent="0.25">
      <c r="A14" s="2" t="s">
        <v>518</v>
      </c>
      <c r="B14" s="2" t="s">
        <v>519</v>
      </c>
    </row>
    <row r="15" spans="1:2" ht="60" x14ac:dyDescent="0.25">
      <c r="A15" s="2" t="s">
        <v>520</v>
      </c>
      <c r="B15" s="2" t="s">
        <v>521</v>
      </c>
    </row>
    <row r="16" spans="1:2" ht="120" x14ac:dyDescent="0.25">
      <c r="A16" s="2" t="s">
        <v>522</v>
      </c>
      <c r="B16" s="2" t="s">
        <v>523</v>
      </c>
    </row>
    <row r="17" spans="1:2" ht="105" x14ac:dyDescent="0.25">
      <c r="A17" s="2" t="s">
        <v>524</v>
      </c>
      <c r="B17" s="2" t="s">
        <v>525</v>
      </c>
    </row>
    <row r="18" spans="1:2" ht="120" x14ac:dyDescent="0.25">
      <c r="A18" s="2" t="s">
        <v>526</v>
      </c>
      <c r="B18" s="2" t="s">
        <v>527</v>
      </c>
    </row>
  </sheetData>
  <autoFilter ref="A1:B15" xr:uid="{00000000-0009-0000-0000-000007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External_chart</vt:lpstr>
      <vt:lpstr>Abstracts</vt:lpstr>
      <vt:lpstr>Original_Codebook</vt:lpstr>
      <vt:lpstr>Original_ValidationLists</vt:lpstr>
      <vt:lpstr>Mode_comparison</vt:lpstr>
      <vt:lpstr>Baseline_modes</vt:lpstr>
      <vt:lpstr>Coding_sensitivity</vt:lpstr>
      <vt:lpstr>Read_me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Poschmann, Hendrik, Prof. Dr.-Ing.</cp:lastModifiedBy>
  <dcterms:created xsi:type="dcterms:W3CDTF">2026-09-06T16:25:45Z</dcterms:created>
  <dcterms:modified xsi:type="dcterms:W3CDTF">2026-10-02T07:07:50Z</dcterms:modified>
</cp:coreProperties>
</file>